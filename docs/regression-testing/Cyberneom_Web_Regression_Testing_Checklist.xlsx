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Module" sheetId="3" state="visible" r:id="rId3"/>
    <sheet xmlns:r="http://schemas.openxmlformats.org/officeDocument/2006/relationships" name="By Area" sheetId="4" state="visible" r:id="rId4"/>
    <sheet xmlns:r="http://schemas.openxmlformats.org/officeDocument/2006/relationships" name="Defects Log" sheetId="5" state="visible" r:id="rId5"/>
    <sheet xmlns:r="http://schemas.openxmlformats.org/officeDocument/2006/relationships" name="Release Gates" sheetId="6" state="visible" r:id="rId6"/>
  </sheets>
  <definedNames>
    <definedName name="_xlnm._FilterDatabase" localSheetId="1" hidden="1">'Test Cases'!$A$1:$O$160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0897B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97B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897B"/>
      </patternFill>
    </fill>
    <fill>
      <patternFill patternType="solid">
        <fgColor rgb="00F4FAF8"/>
      </patternFill>
    </fill>
  </fills>
  <borders count="2">
    <border>
      <left/>
      <right/>
      <top/>
      <bottom/>
      <diagonal/>
    </border>
    <border>
      <left style="thin">
        <color rgb="00B7CEC9"/>
      </left>
      <right style="thin">
        <color rgb="00B7CEC9"/>
      </right>
      <top style="thin">
        <color rgb="00B7CEC9"/>
      </top>
      <bottom style="thin">
        <color rgb="00B7CE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Cyberneom Web — Regression Testing Checklist</t>
        </is>
      </c>
    </row>
    <row r="2">
      <c r="A2" s="2" t="inlineStr">
        <is>
          <t>Version:</t>
        </is>
      </c>
      <c r="B2" s="3" t="inlineStr">
        <is>
          <t>3.0.0+27</t>
        </is>
      </c>
    </row>
    <row r="3">
      <c r="A3" s="2" t="inlineStr">
        <is>
          <t>URL:</t>
        </is>
      </c>
      <c r="B3" s="3" t="inlineStr">
        <is>
          <t>https://cyberneom-edd2d.web.app</t>
        </is>
      </c>
    </row>
    <row r="4">
      <c r="A4" s="2" t="inlineStr">
        <is>
          <t>Tester(s):</t>
        </is>
      </c>
      <c r="B4" s="3" t="inlineStr"/>
    </row>
    <row r="5">
      <c r="A5" s="2" t="inlineStr">
        <is>
          <t>Fecha inicio:</t>
        </is>
      </c>
      <c r="B5" s="3" t="inlineStr"/>
    </row>
    <row r="6">
      <c r="A6" s="2" t="inlineStr">
        <is>
          <t>Fecha fin:</t>
        </is>
      </c>
      <c r="B6" s="3" t="inlineStr"/>
    </row>
    <row r="8">
      <c r="A8" s="4" t="inlineStr">
        <is>
          <t>KPI</t>
        </is>
      </c>
      <c r="B8" s="4" t="inlineStr">
        <is>
          <t>Valor</t>
        </is>
      </c>
    </row>
    <row r="9">
      <c r="A9" s="5" t="inlineStr">
        <is>
          <t>Total de casos</t>
        </is>
      </c>
      <c r="B9" s="6">
        <f>COUNTA('Test Cases'!A2:A160)</f>
        <v/>
      </c>
    </row>
    <row r="10">
      <c r="A10" s="5" t="inlineStr">
        <is>
          <t>Passed</t>
        </is>
      </c>
      <c r="B10" s="6">
        <f>COUNTIF('Test Cases'!F2:F160,"Passed")</f>
        <v/>
      </c>
    </row>
    <row r="11">
      <c r="A11" s="5" t="inlineStr">
        <is>
          <t>Failed</t>
        </is>
      </c>
      <c r="B11" s="6">
        <f>COUNTIF('Test Cases'!F2:F160,"Failed")</f>
        <v/>
      </c>
    </row>
    <row r="12">
      <c r="A12" s="5" t="inlineStr">
        <is>
          <t>Blocked</t>
        </is>
      </c>
      <c r="B12" s="6">
        <f>COUNTIF('Test Cases'!F2:F160,"Blocked")</f>
        <v/>
      </c>
    </row>
    <row r="13">
      <c r="A13" s="5" t="inlineStr">
        <is>
          <t>Skipped</t>
        </is>
      </c>
      <c r="B13" s="6">
        <f>COUNTIF('Test Cases'!F2:F160,"Skipped")</f>
        <v/>
      </c>
    </row>
    <row r="14">
      <c r="A14" s="5" t="inlineStr">
        <is>
          <t>Not Run</t>
        </is>
      </c>
      <c r="B14" s="6">
        <f>COUNTIF('Test Cases'!F2:F160,"Not Run")</f>
        <v/>
      </c>
    </row>
    <row r="15">
      <c r="A15" s="5" t="inlineStr">
        <is>
          <t>% Cobertura</t>
        </is>
      </c>
      <c r="B15" s="7">
        <f>IFERROR((B10+B11+B12+B13)/B9,0)</f>
        <v/>
      </c>
    </row>
    <row r="16">
      <c r="A16" s="5" t="inlineStr">
        <is>
          <t>% Pass rate</t>
        </is>
      </c>
      <c r="B16" s="7">
        <f>IFERROR(B10/(B10+B11),0)</f>
        <v/>
      </c>
    </row>
    <row r="18">
      <c r="A18" s="4" t="inlineStr">
        <is>
          <t>Prioridad</t>
        </is>
      </c>
      <c r="B18" s="4" t="inlineStr">
        <is>
          <t>Total</t>
        </is>
      </c>
      <c r="C18" s="4" t="inlineStr">
        <is>
          <t>Passed</t>
        </is>
      </c>
      <c r="D18" s="4" t="inlineStr">
        <is>
          <t>Failed</t>
        </is>
      </c>
      <c r="E18" s="4" t="inlineStr">
        <is>
          <t>Pendientes</t>
        </is>
      </c>
    </row>
    <row r="19">
      <c r="A19" s="5" t="inlineStr">
        <is>
          <t>P0</t>
        </is>
      </c>
      <c r="B19" s="8">
        <f>COUNTIF('Test Cases'!D2:D160,"P0")</f>
        <v/>
      </c>
      <c r="C19" s="8">
        <f>COUNTIFS('Test Cases'!D2:D160,"P0",'Test Cases'!F2:F160,"Passed")</f>
        <v/>
      </c>
      <c r="D19" s="8">
        <f>COUNTIFS('Test Cases'!D2:D160,"P0",'Test Cases'!F2:F160,"Failed")</f>
        <v/>
      </c>
      <c r="E19" s="8">
        <f>COUNTIFS('Test Cases'!D2:D160,"P0",'Test Cases'!F2:F160,"Not Run")</f>
        <v/>
      </c>
    </row>
    <row r="20">
      <c r="A20" s="5" t="inlineStr">
        <is>
          <t>P1</t>
        </is>
      </c>
      <c r="B20" s="8">
        <f>COUNTIF('Test Cases'!D2:D160,"P1")</f>
        <v/>
      </c>
      <c r="C20" s="8">
        <f>COUNTIFS('Test Cases'!D2:D160,"P1",'Test Cases'!F2:F160,"Passed")</f>
        <v/>
      </c>
      <c r="D20" s="8">
        <f>COUNTIFS('Test Cases'!D2:D160,"P1",'Test Cases'!F2:F160,"Failed")</f>
        <v/>
      </c>
      <c r="E20" s="8">
        <f>COUNTIFS('Test Cases'!D2:D160,"P1",'Test Cases'!F2:F160,"Not Run")</f>
        <v/>
      </c>
    </row>
    <row r="21">
      <c r="A21" s="5" t="inlineStr">
        <is>
          <t>P2</t>
        </is>
      </c>
      <c r="B21" s="8">
        <f>COUNTIF('Test Cases'!D2:D160,"P2")</f>
        <v/>
      </c>
      <c r="C21" s="8">
        <f>COUNTIFS('Test Cases'!D2:D160,"P2",'Test Cases'!F2:F160,"Passed")</f>
        <v/>
      </c>
      <c r="D21" s="8">
        <f>COUNTIFS('Test Cases'!D2:D160,"P2",'Test Cases'!F2:F160,"Failed")</f>
        <v/>
      </c>
      <c r="E21" s="8">
        <f>COUNTIFS('Test Cases'!D2:D160,"P2",'Test Cases'!F2:F160,"Not Run")</f>
        <v/>
      </c>
    </row>
    <row r="22">
      <c r="A22" s="5" t="inlineStr">
        <is>
          <t>P3</t>
        </is>
      </c>
      <c r="B22" s="8">
        <f>COUNTIF('Test Cases'!D2:D160,"P3")</f>
        <v/>
      </c>
      <c r="C22" s="8">
        <f>COUNTIFS('Test Cases'!D2:D160,"P3",'Test Cases'!F2:F160,"Passed")</f>
        <v/>
      </c>
      <c r="D22" s="8">
        <f>COUNTIFS('Test Cases'!D2:D160,"P3",'Test Cases'!F2:F160,"Failed")</f>
        <v/>
      </c>
      <c r="E22" s="8">
        <f>COUNTIFS('Test Cases'!D2:D160,"P3",'Test Cases'!F2:F160,"Not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SMK-01</t>
        </is>
      </c>
      <c r="B2" s="9" t="inlineStr">
        <is>
          <t>neom_commons</t>
        </is>
      </c>
      <c r="C2" s="9" t="inlineStr">
        <is>
          <t>Smoke</t>
        </is>
      </c>
      <c r="D2" s="9" t="inlineStr">
        <is>
          <t>P0</t>
        </is>
      </c>
      <c r="E2" s="9" t="inlineStr">
        <is>
          <t>Cold boot web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Browser limpio</t>
        </is>
      </c>
      <c r="M2" s="9" t="inlineStr">
        <is>
          <t>Abrir landing</t>
        </is>
      </c>
      <c r="N2" s="9" t="inlineStr">
        <is>
          <t>Carga &lt; 5s</t>
        </is>
      </c>
      <c r="O2" s="9" t="inlineStr"/>
    </row>
    <row r="3">
      <c r="A3" s="10" t="inlineStr">
        <is>
          <t>SMK-02</t>
        </is>
      </c>
      <c r="B3" s="10" t="inlineStr">
        <is>
          <t>neom_commons</t>
        </is>
      </c>
      <c r="C3" s="10" t="inlineStr">
        <is>
          <t>Smoke</t>
        </is>
      </c>
      <c r="D3" s="10" t="inlineStr">
        <is>
          <t>P0</t>
        </is>
      </c>
      <c r="E3" s="10" t="inlineStr">
        <is>
          <t>Cold boot android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APK</t>
        </is>
      </c>
      <c r="M3" s="10" t="inlineStr">
        <is>
          <t>Lanzar</t>
        </is>
      </c>
      <c r="N3" s="10" t="inlineStr">
        <is>
          <t>OK</t>
        </is>
      </c>
      <c r="O3" s="10" t="inlineStr"/>
    </row>
    <row r="4">
      <c r="A4" s="9" t="inlineStr">
        <is>
          <t>SMK-03</t>
        </is>
      </c>
      <c r="B4" s="9" t="inlineStr">
        <is>
          <t>neom_commons</t>
        </is>
      </c>
      <c r="C4" s="9" t="inlineStr">
        <is>
          <t>Smoke</t>
        </is>
      </c>
      <c r="D4" s="9" t="inlineStr">
        <is>
          <t>P0</t>
        </is>
      </c>
      <c r="E4" s="9" t="inlineStr">
        <is>
          <t>Cold boot iOS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TestFlight</t>
        </is>
      </c>
      <c r="M4" s="9" t="inlineStr">
        <is>
          <t>Lanzar</t>
        </is>
      </c>
      <c r="N4" s="9" t="inlineStr">
        <is>
          <t>OK</t>
        </is>
      </c>
      <c r="O4" s="9" t="inlineStr"/>
    </row>
    <row r="5">
      <c r="A5" s="10" t="inlineStr">
        <is>
          <t>SMK-04</t>
        </is>
      </c>
      <c r="B5" s="10" t="inlineStr">
        <is>
          <t>neom_commons</t>
        </is>
      </c>
      <c r="C5" s="10" t="inlineStr">
        <is>
          <t>Smoke</t>
        </is>
      </c>
      <c r="D5" s="10" t="inlineStr">
        <is>
          <t>P0</t>
        </is>
      </c>
      <c r="E5" s="10" t="inlineStr">
        <is>
          <t>Drawer principal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Login</t>
        </is>
      </c>
      <c r="M5" s="10" t="inlineStr">
        <is>
          <t>Abrir drawer</t>
        </is>
      </c>
      <c r="N5" s="10" t="inlineStr">
        <is>
          <t>Items navegan</t>
        </is>
      </c>
      <c r="O5" s="10" t="inlineStr"/>
    </row>
    <row r="6">
      <c r="A6" s="9" t="inlineStr">
        <is>
          <t>SMK-05</t>
        </is>
      </c>
      <c r="B6" s="9" t="inlineStr">
        <is>
          <t>neom_commons</t>
        </is>
      </c>
      <c r="C6" s="9" t="inlineStr">
        <is>
          <t>Smoke</t>
        </is>
      </c>
      <c r="D6" s="9" t="inlineStr">
        <is>
          <t>P1</t>
        </is>
      </c>
      <c r="E6" s="9" t="inlineStr">
        <is>
          <t>Sin errores consola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Cualquier</t>
        </is>
      </c>
      <c r="M6" s="9" t="inlineStr">
        <is>
          <t>F12</t>
        </is>
      </c>
      <c r="N6" s="9" t="inlineStr">
        <is>
          <t>Sin rojos</t>
        </is>
      </c>
      <c r="O6" s="9" t="inlineStr"/>
    </row>
    <row r="7">
      <c r="A7" s="10" t="inlineStr">
        <is>
          <t>SMK-06</t>
        </is>
      </c>
      <c r="B7" s="10" t="inlineStr">
        <is>
          <t>neom_commons</t>
        </is>
      </c>
      <c r="C7" s="10" t="inlineStr">
        <is>
          <t>Smoke</t>
        </is>
      </c>
      <c r="D7" s="10" t="inlineStr">
        <is>
          <t>P1</t>
        </is>
      </c>
      <c r="E7" s="10" t="inlineStr">
        <is>
          <t>Web manifest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Web</t>
        </is>
      </c>
      <c r="M7" s="10" t="inlineStr">
        <is>
          <t>DevTools &gt; Application</t>
        </is>
      </c>
      <c r="N7" s="10" t="inlineStr">
        <is>
          <t>Manifest OK</t>
        </is>
      </c>
      <c r="O7" s="10" t="inlineStr"/>
    </row>
    <row r="8">
      <c r="A8" s="9" t="inlineStr">
        <is>
          <t>SMK-07</t>
        </is>
      </c>
      <c r="B8" s="9" t="inlineStr">
        <is>
          <t>neom_commons</t>
        </is>
      </c>
      <c r="C8" s="9" t="inlineStr">
        <is>
          <t>Smoke</t>
        </is>
      </c>
      <c r="D8" s="9" t="inlineStr">
        <is>
          <t>P0</t>
        </is>
      </c>
      <c r="E8" s="9" t="inlineStr">
        <is>
          <t>Firebase init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Boot</t>
        </is>
      </c>
      <c r="M8" s="9" t="inlineStr">
        <is>
          <t>Logs</t>
        </is>
      </c>
      <c r="N8" s="9" t="inlineStr">
        <is>
          <t>Sin duplicate app</t>
        </is>
      </c>
      <c r="O8" s="9" t="inlineStr"/>
    </row>
    <row r="9">
      <c r="A9" s="10" t="inlineStr">
        <is>
          <t>AUTH-01</t>
        </is>
      </c>
      <c r="B9" s="10" t="inlineStr">
        <is>
          <t>neom_auth</t>
        </is>
      </c>
      <c r="C9" s="10" t="inlineStr">
        <is>
          <t>Auth</t>
        </is>
      </c>
      <c r="D9" s="10" t="inlineStr">
        <is>
          <t>P0</t>
        </is>
      </c>
      <c r="E9" s="10" t="inlineStr">
        <is>
          <t>Login email</t>
        </is>
      </c>
      <c r="F9" s="10" t="inlineStr">
        <is>
          <t>Not Run</t>
        </is>
      </c>
      <c r="G9" s="10" t="n"/>
      <c r="H9" s="10" t="n"/>
      <c r="I9" s="10" t="n"/>
      <c r="J9" s="10" t="n"/>
      <c r="K9" s="10" t="n"/>
      <c r="L9" s="10" t="inlineStr">
        <is>
          <t>Cuenta test</t>
        </is>
      </c>
      <c r="M9" s="10" t="inlineStr">
        <is>
          <t>Email + pwd</t>
        </is>
      </c>
      <c r="N9" s="10" t="inlineStr">
        <is>
          <t>Home</t>
        </is>
      </c>
      <c r="O9" s="10" t="inlineStr"/>
    </row>
    <row r="10">
      <c r="A10" s="9" t="inlineStr">
        <is>
          <t>AUTH-02</t>
        </is>
      </c>
      <c r="B10" s="9" t="inlineStr">
        <is>
          <t>neom_auth</t>
        </is>
      </c>
      <c r="C10" s="9" t="inlineStr">
        <is>
          <t>Auth</t>
        </is>
      </c>
      <c r="D10" s="9" t="inlineStr">
        <is>
          <t>P0</t>
        </is>
      </c>
      <c r="E10" s="9" t="inlineStr">
        <is>
          <t>Login Google</t>
        </is>
      </c>
      <c r="F10" s="9" t="inlineStr">
        <is>
          <t>Not Run</t>
        </is>
      </c>
      <c r="G10" s="9" t="n"/>
      <c r="H10" s="9" t="n"/>
      <c r="I10" s="9" t="n"/>
      <c r="J10" s="9" t="n"/>
      <c r="K10" s="9" t="n"/>
      <c r="L10" s="9" t="inlineStr">
        <is>
          <t>Cuenta Google</t>
        </is>
      </c>
      <c r="M10" s="9" t="inlineStr">
        <is>
          <t>Sign-in</t>
        </is>
      </c>
      <c r="N10" s="9" t="inlineStr">
        <is>
          <t>OK</t>
        </is>
      </c>
      <c r="O10" s="9" t="inlineStr"/>
    </row>
    <row r="11">
      <c r="A11" s="10" t="inlineStr">
        <is>
          <t>AUTH-03</t>
        </is>
      </c>
      <c r="B11" s="10" t="inlineStr">
        <is>
          <t>neom_auth</t>
        </is>
      </c>
      <c r="C11" s="10" t="inlineStr">
        <is>
          <t>Auth</t>
        </is>
      </c>
      <c r="D11" s="10" t="inlineStr">
        <is>
          <t>P0</t>
        </is>
      </c>
      <c r="E11" s="10" t="inlineStr">
        <is>
          <t>Login Apple</t>
        </is>
      </c>
      <c r="F11" s="10" t="inlineStr">
        <is>
          <t>Not Run</t>
        </is>
      </c>
      <c r="G11" s="10" t="n"/>
      <c r="H11" s="10" t="n"/>
      <c r="I11" s="10" t="n"/>
      <c r="J11" s="10" t="n"/>
      <c r="K11" s="10" t="n"/>
      <c r="L11" s="10" t="inlineStr">
        <is>
          <t>Cuenta Apple</t>
        </is>
      </c>
      <c r="M11" s="10" t="inlineStr">
        <is>
          <t>Sign-in</t>
        </is>
      </c>
      <c r="N11" s="10" t="inlineStr">
        <is>
          <t>OK</t>
        </is>
      </c>
      <c r="O11" s="10" t="inlineStr">
        <is>
          <t>⚠ Web-limited</t>
        </is>
      </c>
    </row>
    <row r="12">
      <c r="A12" s="9" t="inlineStr">
        <is>
          <t>AUTH-04</t>
        </is>
      </c>
      <c r="B12" s="9" t="inlineStr">
        <is>
          <t>neom_auth</t>
        </is>
      </c>
      <c r="C12" s="9" t="inlineStr">
        <is>
          <t>Auth</t>
        </is>
      </c>
      <c r="D12" s="9" t="inlineStr">
        <is>
          <t>P0</t>
        </is>
      </c>
      <c r="E12" s="9" t="inlineStr">
        <is>
          <t>Logout</t>
        </is>
      </c>
      <c r="F12" s="9" t="inlineStr">
        <is>
          <t>Not Run</t>
        </is>
      </c>
      <c r="G12" s="9" t="n"/>
      <c r="H12" s="9" t="n"/>
      <c r="I12" s="9" t="n"/>
      <c r="J12" s="9" t="n"/>
      <c r="K12" s="9" t="n"/>
      <c r="L12" s="9" t="inlineStr">
        <is>
          <t>Sesión</t>
        </is>
      </c>
      <c r="M12" s="9" t="inlineStr">
        <is>
          <t>Drawer &gt; Logout</t>
        </is>
      </c>
      <c r="N12" s="9" t="inlineStr">
        <is>
          <t>Landing</t>
        </is>
      </c>
      <c r="O12" s="9" t="inlineStr"/>
    </row>
    <row r="13">
      <c r="A13" s="10" t="inlineStr">
        <is>
          <t>AUTH-05</t>
        </is>
      </c>
      <c r="B13" s="10" t="inlineStr">
        <is>
          <t>neom_auth</t>
        </is>
      </c>
      <c r="C13" s="10" t="inlineStr">
        <is>
          <t>Auth</t>
        </is>
      </c>
      <c r="D13" s="10" t="inlineStr">
        <is>
          <t>P1</t>
        </is>
      </c>
      <c r="E13" s="10" t="inlineStr">
        <is>
          <t>Recuperar password</t>
        </is>
      </c>
      <c r="F13" s="10" t="inlineStr">
        <is>
          <t>Not Run</t>
        </is>
      </c>
      <c r="G13" s="10" t="n"/>
      <c r="H13" s="10" t="n"/>
      <c r="I13" s="10" t="n"/>
      <c r="J13" s="10" t="n"/>
      <c r="K13" s="10" t="n"/>
      <c r="L13" s="10" t="inlineStr">
        <is>
          <t>Email</t>
        </is>
      </c>
      <c r="M13" s="10" t="inlineStr">
        <is>
          <t>Forgot</t>
        </is>
      </c>
      <c r="N13" s="10" t="inlineStr">
        <is>
          <t>Email reset</t>
        </is>
      </c>
      <c r="O13" s="10" t="inlineStr"/>
    </row>
    <row r="14">
      <c r="A14" s="9" t="inlineStr">
        <is>
          <t>AUTH-06</t>
        </is>
      </c>
      <c r="B14" s="9" t="inlineStr">
        <is>
          <t>neom_auth</t>
        </is>
      </c>
      <c r="C14" s="9" t="inlineStr">
        <is>
          <t>Auth</t>
        </is>
      </c>
      <c r="D14" s="9" t="inlineStr">
        <is>
          <t>P1</t>
        </is>
      </c>
      <c r="E14" s="9" t="inlineStr">
        <is>
          <t>Persistencia sesión</t>
        </is>
      </c>
      <c r="F14" s="9" t="inlineStr">
        <is>
          <t>Not Run</t>
        </is>
      </c>
      <c r="G14" s="9" t="n"/>
      <c r="H14" s="9" t="n"/>
      <c r="I14" s="9" t="n"/>
      <c r="J14" s="9" t="n"/>
      <c r="K14" s="9" t="n"/>
      <c r="L14" s="9" t="inlineStr">
        <is>
          <t>Login</t>
        </is>
      </c>
      <c r="M14" s="9" t="inlineStr">
        <is>
          <t>Cerrar/abrir</t>
        </is>
      </c>
      <c r="N14" s="9" t="inlineStr">
        <is>
          <t>Sigue</t>
        </is>
      </c>
      <c r="O14" s="9" t="inlineStr"/>
    </row>
    <row r="15">
      <c r="A15" s="10" t="inlineStr">
        <is>
          <t>ONB-01</t>
        </is>
      </c>
      <c r="B15" s="10" t="inlineStr">
        <is>
          <t>neom_onboarding</t>
        </is>
      </c>
      <c r="C15" s="10" t="inlineStr">
        <is>
          <t>Onboarding</t>
        </is>
      </c>
      <c r="D15" s="10" t="inlineStr">
        <is>
          <t>P0</t>
        </is>
      </c>
      <c r="E15" s="10" t="inlineStr">
        <is>
          <t>Flujo primer uso</t>
        </is>
      </c>
      <c r="F15" s="10" t="inlineStr">
        <is>
          <t>Not Run</t>
        </is>
      </c>
      <c r="G15" s="10" t="n"/>
      <c r="H15" s="10" t="n"/>
      <c r="I15" s="10" t="n"/>
      <c r="J15" s="10" t="n"/>
      <c r="K15" s="10" t="n"/>
      <c r="L15" s="10" t="inlineStr">
        <is>
          <t>Cuenta nueva</t>
        </is>
      </c>
      <c r="M15" s="10" t="inlineStr">
        <is>
          <t>Completar</t>
        </is>
      </c>
      <c r="N15" s="10" t="inlineStr">
        <is>
          <t>Llega Home</t>
        </is>
      </c>
      <c r="O15" s="10" t="inlineStr"/>
    </row>
    <row r="16">
      <c r="A16" s="9" t="inlineStr">
        <is>
          <t>ONB-02</t>
        </is>
      </c>
      <c r="B16" s="9" t="inlineStr">
        <is>
          <t>neom_onboarding</t>
        </is>
      </c>
      <c r="C16" s="9" t="inlineStr">
        <is>
          <t>Onboarding</t>
        </is>
      </c>
      <c r="D16" s="9" t="inlineStr">
        <is>
          <t>P1</t>
        </is>
      </c>
      <c r="E16" s="9" t="inlineStr">
        <is>
          <t>Selección rol</t>
        </is>
      </c>
      <c r="F16" s="9" t="inlineStr">
        <is>
          <t>Not Run</t>
        </is>
      </c>
      <c r="G16" s="9" t="n"/>
      <c r="H16" s="9" t="n"/>
      <c r="I16" s="9" t="n"/>
      <c r="J16" s="9" t="n"/>
      <c r="K16" s="9" t="n"/>
      <c r="L16" s="9" t="inlineStr">
        <is>
          <t>Onboarding</t>
        </is>
      </c>
      <c r="M16" s="9" t="inlineStr">
        <is>
          <t>Pick rol</t>
        </is>
      </c>
      <c r="N16" s="9" t="inlineStr">
        <is>
          <t>Guardado</t>
        </is>
      </c>
      <c r="O16" s="9" t="inlineStr"/>
    </row>
    <row r="17">
      <c r="A17" s="10" t="inlineStr">
        <is>
          <t>ONB-03</t>
        </is>
      </c>
      <c r="B17" s="10" t="inlineStr">
        <is>
          <t>neom_onboarding</t>
        </is>
      </c>
      <c r="C17" s="10" t="inlineStr">
        <is>
          <t>Onboarding</t>
        </is>
      </c>
      <c r="D17" s="10" t="inlineStr">
        <is>
          <t>P2</t>
        </is>
      </c>
      <c r="E17" s="10" t="inlineStr">
        <is>
          <t>Skip pasos</t>
        </is>
      </c>
      <c r="F17" s="10" t="inlineStr">
        <is>
          <t>Not Run</t>
        </is>
      </c>
      <c r="G17" s="10" t="n"/>
      <c r="H17" s="10" t="n"/>
      <c r="I17" s="10" t="n"/>
      <c r="J17" s="10" t="n"/>
      <c r="K17" s="10" t="n"/>
      <c r="L17" s="10" t="inlineStr">
        <is>
          <t>Onboarding</t>
        </is>
      </c>
      <c r="M17" s="10" t="inlineStr">
        <is>
          <t>Skip</t>
        </is>
      </c>
      <c r="N17" s="10" t="inlineStr">
        <is>
          <t>Continúa</t>
        </is>
      </c>
      <c r="O17" s="10" t="inlineStr"/>
    </row>
    <row r="18">
      <c r="A18" s="9" t="inlineStr">
        <is>
          <t>PAR-01</t>
        </is>
      </c>
      <c r="B18" s="9" t="inlineStr">
        <is>
          <t>neom_par</t>
        </is>
      </c>
      <c r="C18" s="9" t="inlineStr">
        <is>
          <t>PAR</t>
        </is>
      </c>
      <c r="D18" s="9" t="inlineStr">
        <is>
          <t>P0</t>
        </is>
      </c>
      <c r="E18" s="9" t="inlineStr">
        <is>
          <t>Home PAR</t>
        </is>
      </c>
      <c r="F18" s="9" t="inlineStr">
        <is>
          <t>Not Run</t>
        </is>
      </c>
      <c r="G18" s="9" t="n"/>
      <c r="H18" s="9" t="n"/>
      <c r="I18" s="9" t="n"/>
      <c r="J18" s="9" t="n"/>
      <c r="K18" s="9" t="n"/>
      <c r="L18" s="9" t="inlineStr">
        <is>
          <t>Login</t>
        </is>
      </c>
      <c r="M18" s="9" t="inlineStr">
        <is>
          <t>/par</t>
        </is>
      </c>
      <c r="N18" s="9" t="inlineStr">
        <is>
          <t>Dashboard cognitive fitness</t>
        </is>
      </c>
      <c r="O18" s="9" t="inlineStr"/>
    </row>
    <row r="19">
      <c r="A19" s="10" t="inlineStr">
        <is>
          <t>PAR-02</t>
        </is>
      </c>
      <c r="B19" s="10" t="inlineStr">
        <is>
          <t>neom_par</t>
        </is>
      </c>
      <c r="C19" s="10" t="inlineStr">
        <is>
          <t>PAR</t>
        </is>
      </c>
      <c r="D19" s="10" t="inlineStr">
        <is>
          <t>P0</t>
        </is>
      </c>
      <c r="E19" s="10" t="inlineStr">
        <is>
          <t>Readiness assessment</t>
        </is>
      </c>
      <c r="F19" s="10" t="inlineStr">
        <is>
          <t>Not Run</t>
        </is>
      </c>
      <c r="G19" s="10" t="n"/>
      <c r="H19" s="10" t="n"/>
      <c r="I19" s="10" t="n"/>
      <c r="J19" s="10" t="n"/>
      <c r="K19" s="10" t="n"/>
      <c r="L19" s="10" t="inlineStr">
        <is>
          <t>PAR home</t>
        </is>
      </c>
      <c r="M19" s="10" t="inlineStr">
        <is>
          <t>/par/readiness</t>
        </is>
      </c>
      <c r="N19" s="10" t="inlineStr">
        <is>
          <t>Mic CV 60s arranca</t>
        </is>
      </c>
      <c r="O19" s="10" t="inlineStr"/>
    </row>
    <row r="20">
      <c r="A20" s="9" t="inlineStr">
        <is>
          <t>PAR-03</t>
        </is>
      </c>
      <c r="B20" s="9" t="inlineStr">
        <is>
          <t>neom_par</t>
        </is>
      </c>
      <c r="C20" s="9" t="inlineStr">
        <is>
          <t>PAR</t>
        </is>
      </c>
      <c r="D20" s="9" t="inlineStr">
        <is>
          <t>P0</t>
        </is>
      </c>
      <c r="E20" s="9" t="inlineStr">
        <is>
          <t>Mic CV calibración</t>
        </is>
      </c>
      <c r="F20" s="9" t="inlineStr">
        <is>
          <t>Not Run</t>
        </is>
      </c>
      <c r="G20" s="9" t="n"/>
      <c r="H20" s="9" t="n"/>
      <c r="I20" s="9" t="n"/>
      <c r="J20" s="9" t="n"/>
      <c r="K20" s="9" t="n"/>
      <c r="L20" s="9" t="inlineStr">
        <is>
          <t>Readiness</t>
        </is>
      </c>
      <c r="M20" s="9" t="inlineStr">
        <is>
          <t>Hablar 60s</t>
        </is>
      </c>
      <c r="N20" s="9" t="inlineStr">
        <is>
          <t>CV calculado</t>
        </is>
      </c>
      <c r="O20" s="9" t="inlineStr"/>
    </row>
    <row r="21">
      <c r="A21" s="10" t="inlineStr">
        <is>
          <t>PAR-04</t>
        </is>
      </c>
      <c r="B21" s="10" t="inlineStr">
        <is>
          <t>neom_par</t>
        </is>
      </c>
      <c r="C21" s="10" t="inlineStr">
        <is>
          <t>PAR</t>
        </is>
      </c>
      <c r="D21" s="10" t="inlineStr">
        <is>
          <t>P0</t>
        </is>
      </c>
      <c r="E21" s="10" t="inlineStr">
        <is>
          <t>Score readiness</t>
        </is>
      </c>
      <c r="F21" s="10" t="inlineStr">
        <is>
          <t>Not Run</t>
        </is>
      </c>
      <c r="G21" s="10" t="n"/>
      <c r="H21" s="10" t="n"/>
      <c r="I21" s="10" t="n"/>
      <c r="J21" s="10" t="n"/>
      <c r="K21" s="10" t="n"/>
      <c r="L21" s="10" t="inlineStr">
        <is>
          <t>CV calculado</t>
        </is>
      </c>
      <c r="M21" s="10" t="inlineStr">
        <is>
          <t>Ver</t>
        </is>
      </c>
      <c r="N21" s="10" t="inlineStr">
        <is>
          <t>Score 0-100 + percentil</t>
        </is>
      </c>
      <c r="O21" s="10" t="inlineStr"/>
    </row>
    <row r="22">
      <c r="A22" s="9" t="inlineStr">
        <is>
          <t>PAR-05</t>
        </is>
      </c>
      <c r="B22" s="9" t="inlineStr">
        <is>
          <t>neom_par</t>
        </is>
      </c>
      <c r="C22" s="9" t="inlineStr">
        <is>
          <t>PAR</t>
        </is>
      </c>
      <c r="D22" s="9" t="inlineStr">
        <is>
          <t>P1</t>
        </is>
      </c>
      <c r="E22" s="9" t="inlineStr">
        <is>
          <t>Protocolo táctico 1</t>
        </is>
      </c>
      <c r="F22" s="9" t="inlineStr">
        <is>
          <t>Not Run</t>
        </is>
      </c>
      <c r="G22" s="9" t="n"/>
      <c r="H22" s="9" t="n"/>
      <c r="I22" s="9" t="n"/>
      <c r="J22" s="9" t="n"/>
      <c r="K22" s="9" t="n"/>
      <c r="L22" s="9" t="inlineStr">
        <is>
          <t>PAR home</t>
        </is>
      </c>
      <c r="M22" s="9" t="inlineStr">
        <is>
          <t>/par/protocol/1</t>
        </is>
      </c>
      <c r="N22" s="9" t="inlineStr">
        <is>
          <t>Carga + steps</t>
        </is>
      </c>
      <c r="O22" s="9" t="inlineStr"/>
    </row>
    <row r="23">
      <c r="A23" s="10" t="inlineStr">
        <is>
          <t>PAR-06</t>
        </is>
      </c>
      <c r="B23" s="10" t="inlineStr">
        <is>
          <t>neom_par</t>
        </is>
      </c>
      <c r="C23" s="10" t="inlineStr">
        <is>
          <t>PAR</t>
        </is>
      </c>
      <c r="D23" s="10" t="inlineStr">
        <is>
          <t>P1</t>
        </is>
      </c>
      <c r="E23" s="10" t="inlineStr">
        <is>
          <t>Protocolo táctico 2</t>
        </is>
      </c>
      <c r="F23" s="10" t="inlineStr">
        <is>
          <t>Not Run</t>
        </is>
      </c>
      <c r="G23" s="10" t="n"/>
      <c r="H23" s="10" t="n"/>
      <c r="I23" s="10" t="n"/>
      <c r="J23" s="10" t="n"/>
      <c r="K23" s="10" t="n"/>
      <c r="L23" s="10" t="inlineStr">
        <is>
          <t>PAR home</t>
        </is>
      </c>
      <c r="M23" s="10" t="inlineStr">
        <is>
          <t>/par/protocol/2</t>
        </is>
      </c>
      <c r="N23" s="10" t="inlineStr">
        <is>
          <t>Carga + steps</t>
        </is>
      </c>
      <c r="O23" s="10" t="inlineStr"/>
    </row>
    <row r="24">
      <c r="A24" s="9" t="inlineStr">
        <is>
          <t>PAR-07</t>
        </is>
      </c>
      <c r="B24" s="9" t="inlineStr">
        <is>
          <t>neom_par</t>
        </is>
      </c>
      <c r="C24" s="9" t="inlineStr">
        <is>
          <t>PAR</t>
        </is>
      </c>
      <c r="D24" s="9" t="inlineStr">
        <is>
          <t>P1</t>
        </is>
      </c>
      <c r="E24" s="9" t="inlineStr">
        <is>
          <t>Protocolo táctico 3</t>
        </is>
      </c>
      <c r="F24" s="9" t="inlineStr">
        <is>
          <t>Not Run</t>
        </is>
      </c>
      <c r="G24" s="9" t="n"/>
      <c r="H24" s="9" t="n"/>
      <c r="I24" s="9" t="n"/>
      <c r="J24" s="9" t="n"/>
      <c r="K24" s="9" t="n"/>
      <c r="L24" s="9" t="inlineStr">
        <is>
          <t>PAR home</t>
        </is>
      </c>
      <c r="M24" s="9" t="inlineStr">
        <is>
          <t>/par/protocol/3</t>
        </is>
      </c>
      <c r="N24" s="9" t="inlineStr">
        <is>
          <t>Carga + steps</t>
        </is>
      </c>
      <c r="O24" s="9" t="inlineStr"/>
    </row>
    <row r="25">
      <c r="A25" s="10" t="inlineStr">
        <is>
          <t>PAR-08</t>
        </is>
      </c>
      <c r="B25" s="10" t="inlineStr">
        <is>
          <t>neom_par</t>
        </is>
      </c>
      <c r="C25" s="10" t="inlineStr">
        <is>
          <t>PAR</t>
        </is>
      </c>
      <c r="D25" s="10" t="inlineStr">
        <is>
          <t>P1</t>
        </is>
      </c>
      <c r="E25" s="10" t="inlineStr">
        <is>
          <t>Consistency heatmap</t>
        </is>
      </c>
      <c r="F25" s="10" t="inlineStr">
        <is>
          <t>Not Run</t>
        </is>
      </c>
      <c r="G25" s="10" t="n"/>
      <c r="H25" s="10" t="n"/>
      <c r="I25" s="10" t="n"/>
      <c r="J25" s="10" t="n"/>
      <c r="K25" s="10" t="n"/>
      <c r="L25" s="10" t="inlineStr">
        <is>
          <t>Sesiones previas</t>
        </is>
      </c>
      <c r="M25" s="10" t="inlineStr">
        <is>
          <t>Ver</t>
        </is>
      </c>
      <c r="N25" s="10" t="inlineStr">
        <is>
          <t>GitHub-style grid</t>
        </is>
      </c>
      <c r="O25" s="10" t="inlineStr"/>
    </row>
    <row r="26">
      <c r="A26" s="9" t="inlineStr">
        <is>
          <t>PAR-09</t>
        </is>
      </c>
      <c r="B26" s="9" t="inlineStr">
        <is>
          <t>neom_par</t>
        </is>
      </c>
      <c r="C26" s="9" t="inlineStr">
        <is>
          <t>PAR</t>
        </is>
      </c>
      <c r="D26" s="9" t="inlineStr">
        <is>
          <t>P1</t>
        </is>
      </c>
      <c r="E26" s="9" t="inlineStr">
        <is>
          <t>Percentile engine</t>
        </is>
      </c>
      <c r="F26" s="9" t="inlineStr">
        <is>
          <t>Not Run</t>
        </is>
      </c>
      <c r="G26" s="9" t="n"/>
      <c r="H26" s="9" t="n"/>
      <c r="I26" s="9" t="n"/>
      <c r="J26" s="9" t="n"/>
      <c r="K26" s="9" t="n"/>
      <c r="L26" s="9" t="inlineStr">
        <is>
          <t>Multiple sessions</t>
        </is>
      </c>
      <c r="M26" s="9" t="inlineStr">
        <is>
          <t>Ver</t>
        </is>
      </c>
      <c r="N26" s="9" t="inlineStr">
        <is>
          <t>Curva percentiles</t>
        </is>
      </c>
      <c r="O26" s="9" t="inlineStr"/>
    </row>
    <row r="27">
      <c r="A27" s="10" t="inlineStr">
        <is>
          <t>PAR-10</t>
        </is>
      </c>
      <c r="B27" s="10" t="inlineStr">
        <is>
          <t>neom_par</t>
        </is>
      </c>
      <c r="C27" s="10" t="inlineStr">
        <is>
          <t>PAR</t>
        </is>
      </c>
      <c r="D27" s="10" t="inlineStr">
        <is>
          <t>P2</t>
        </is>
      </c>
      <c r="E27" s="10" t="inlineStr">
        <is>
          <t>Report PNG export</t>
        </is>
      </c>
      <c r="F27" s="10" t="inlineStr">
        <is>
          <t>Not Run</t>
        </is>
      </c>
      <c r="G27" s="10" t="n"/>
      <c r="H27" s="10" t="n"/>
      <c r="I27" s="10" t="n"/>
      <c r="J27" s="10" t="n"/>
      <c r="K27" s="10" t="n"/>
      <c r="L27" s="10" t="inlineStr">
        <is>
          <t>Sesión</t>
        </is>
      </c>
      <c r="M27" s="10" t="inlineStr">
        <is>
          <t>Share</t>
        </is>
      </c>
      <c r="N27" s="10" t="inlineStr">
        <is>
          <t>Imagen generada</t>
        </is>
      </c>
      <c r="O27" s="10" t="inlineStr"/>
    </row>
    <row r="28">
      <c r="A28" s="9" t="inlineStr">
        <is>
          <t>PAR-11</t>
        </is>
      </c>
      <c r="B28" s="9" t="inlineStr">
        <is>
          <t>neom_par</t>
        </is>
      </c>
      <c r="C28" s="9" t="inlineStr">
        <is>
          <t>PAR</t>
        </is>
      </c>
      <c r="D28" s="9" t="inlineStr">
        <is>
          <t>P2</t>
        </is>
      </c>
      <c r="E28" s="9" t="inlineStr">
        <is>
          <t>DeskSensor background</t>
        </is>
      </c>
      <c r="F28" s="9" t="inlineStr">
        <is>
          <t>Not Run</t>
        </is>
      </c>
      <c r="G28" s="9" t="n"/>
      <c r="H28" s="9" t="n"/>
      <c r="I28" s="9" t="n"/>
      <c r="J28" s="9" t="n"/>
      <c r="K28" s="9" t="n"/>
      <c r="L28" s="9" t="inlineStr">
        <is>
          <t>Desktop</t>
        </is>
      </c>
      <c r="M28" s="9" t="inlineStr">
        <is>
          <t>Habilitar</t>
        </is>
      </c>
      <c r="N28" s="9" t="inlineStr">
        <is>
          <t>Monitoreo silencioso</t>
        </is>
      </c>
      <c r="O28" s="9" t="inlineStr">
        <is>
          <t>🚫 Web-excluded</t>
        </is>
      </c>
    </row>
    <row r="29">
      <c r="A29" s="10" t="inlineStr">
        <is>
          <t>PAR-12</t>
        </is>
      </c>
      <c r="B29" s="10" t="inlineStr">
        <is>
          <t>neom_par</t>
        </is>
      </c>
      <c r="C29" s="10" t="inlineStr">
        <is>
          <t>PAR</t>
        </is>
      </c>
      <c r="D29" s="10" t="inlineStr">
        <is>
          <t>P2</t>
        </is>
      </c>
      <c r="E29" s="10" t="inlineStr">
        <is>
          <t>Persistencia sesiones</t>
        </is>
      </c>
      <c r="F29" s="10" t="inlineStr">
        <is>
          <t>Not Run</t>
        </is>
      </c>
      <c r="G29" s="10" t="n"/>
      <c r="H29" s="10" t="n"/>
      <c r="I29" s="10" t="n"/>
      <c r="J29" s="10" t="n"/>
      <c r="K29" s="10" t="n"/>
      <c r="L29" s="10" t="inlineStr">
        <is>
          <t>2 sesiones</t>
        </is>
      </c>
      <c r="M29" s="10" t="inlineStr">
        <is>
          <t>Reiniciar</t>
        </is>
      </c>
      <c r="N29" s="10" t="inlineStr">
        <is>
          <t>Ambas siguen</t>
        </is>
      </c>
      <c r="O29" s="10" t="inlineStr"/>
    </row>
    <row r="30">
      <c r="A30" s="9" t="inlineStr">
        <is>
          <t>BIO-01</t>
        </is>
      </c>
      <c r="B30" s="9" t="inlineStr">
        <is>
          <t>neom_biofeedback</t>
        </is>
      </c>
      <c r="C30" s="9" t="inlineStr">
        <is>
          <t>Biofeedback</t>
        </is>
      </c>
      <c r="D30" s="9" t="inlineStr">
        <is>
          <t>P0</t>
        </is>
      </c>
      <c r="E30" s="9" t="inlineStr">
        <is>
          <t>Permiso mic</t>
        </is>
      </c>
      <c r="F30" s="9" t="inlineStr">
        <is>
          <t>Not Run</t>
        </is>
      </c>
      <c r="G30" s="9" t="n"/>
      <c r="H30" s="9" t="n"/>
      <c r="I30" s="9" t="n"/>
      <c r="J30" s="9" t="n"/>
      <c r="K30" s="9" t="n"/>
      <c r="L30" s="9" t="inlineStr">
        <is>
          <t>Primera vez</t>
        </is>
      </c>
      <c r="M30" s="9" t="inlineStr">
        <is>
          <t>Trigger</t>
        </is>
      </c>
      <c r="N30" s="9" t="inlineStr">
        <is>
          <t>Pide permiso</t>
        </is>
      </c>
      <c r="O30" s="9" t="inlineStr"/>
    </row>
    <row r="31">
      <c r="A31" s="10" t="inlineStr">
        <is>
          <t>BIO-02</t>
        </is>
      </c>
      <c r="B31" s="10" t="inlineStr">
        <is>
          <t>neom_biofeedback</t>
        </is>
      </c>
      <c r="C31" s="10" t="inlineStr">
        <is>
          <t>Biofeedback</t>
        </is>
      </c>
      <c r="D31" s="10" t="inlineStr">
        <is>
          <t>P0</t>
        </is>
      </c>
      <c r="E31" s="10" t="inlineStr">
        <is>
          <t>Breath detector</t>
        </is>
      </c>
      <c r="F31" s="10" t="inlineStr">
        <is>
          <t>Not Run</t>
        </is>
      </c>
      <c r="G31" s="10" t="n"/>
      <c r="H31" s="10" t="n"/>
      <c r="I31" s="10" t="n"/>
      <c r="J31" s="10" t="n"/>
      <c r="K31" s="10" t="n"/>
      <c r="L31" s="10" t="inlineStr">
        <is>
          <t>Mic OK</t>
        </is>
      </c>
      <c r="M31" s="10" t="inlineStr">
        <is>
          <t>Respirar 30s</t>
        </is>
      </c>
      <c r="N31" s="10" t="inlineStr">
        <is>
          <t>Detecta ciclos</t>
        </is>
      </c>
      <c r="O31" s="10" t="inlineStr"/>
    </row>
    <row r="32">
      <c r="A32" s="9" t="inlineStr">
        <is>
          <t>BIO-03</t>
        </is>
      </c>
      <c r="B32" s="9" t="inlineStr">
        <is>
          <t>neom_biofeedback</t>
        </is>
      </c>
      <c r="C32" s="9" t="inlineStr">
        <is>
          <t>Biofeedback</t>
        </is>
      </c>
      <c r="D32" s="9" t="inlineStr">
        <is>
          <t>P0</t>
        </is>
      </c>
      <c r="E32" s="9" t="inlineStr">
        <is>
          <t>Movement detector</t>
        </is>
      </c>
      <c r="F32" s="9" t="inlineStr">
        <is>
          <t>Not Run</t>
        </is>
      </c>
      <c r="G32" s="9" t="n"/>
      <c r="H32" s="9" t="n"/>
      <c r="I32" s="9" t="n"/>
      <c r="J32" s="9" t="n"/>
      <c r="K32" s="9" t="n"/>
      <c r="L32" s="9" t="inlineStr">
        <is>
          <t>Mic OK</t>
        </is>
      </c>
      <c r="M32" s="9" t="inlineStr">
        <is>
          <t>Hablar/moverse</t>
        </is>
      </c>
      <c r="N32" s="9" t="inlineStr">
        <is>
          <t>Eventos</t>
        </is>
      </c>
      <c r="O32" s="9" t="inlineStr"/>
    </row>
    <row r="33">
      <c r="A33" s="10" t="inlineStr">
        <is>
          <t>BIO-04</t>
        </is>
      </c>
      <c r="B33" s="10" t="inlineStr">
        <is>
          <t>neom_biofeedback</t>
        </is>
      </c>
      <c r="C33" s="10" t="inlineStr">
        <is>
          <t>Biofeedback</t>
        </is>
      </c>
      <c r="D33" s="10" t="inlineStr">
        <is>
          <t>P1</t>
        </is>
      </c>
      <c r="E33" s="10" t="inlineStr">
        <is>
          <t>HSS calculator</t>
        </is>
      </c>
      <c r="F33" s="10" t="inlineStr">
        <is>
          <t>Not Run</t>
        </is>
      </c>
      <c r="G33" s="10" t="n"/>
      <c r="H33" s="10" t="n"/>
      <c r="I33" s="10" t="n"/>
      <c r="J33" s="10" t="n"/>
      <c r="K33" s="10" t="n"/>
      <c r="L33" s="10" t="inlineStr">
        <is>
          <t>Datos</t>
        </is>
      </c>
      <c r="M33" s="10" t="inlineStr">
        <is>
          <t>Computar</t>
        </is>
      </c>
      <c r="N33" s="10" t="inlineStr">
        <is>
          <t>S_r × e^(-γ × I_m)</t>
        </is>
      </c>
      <c r="O33" s="10" t="inlineStr"/>
    </row>
    <row r="34">
      <c r="A34" s="9" t="inlineStr">
        <is>
          <t>BIO-05</t>
        </is>
      </c>
      <c r="B34" s="9" t="inlineStr">
        <is>
          <t>neom_biofeedback</t>
        </is>
      </c>
      <c r="C34" s="9" t="inlineStr">
        <is>
          <t>Biofeedback</t>
        </is>
      </c>
      <c r="D34" s="9" t="inlineStr">
        <is>
          <t>P1</t>
        </is>
      </c>
      <c r="E34" s="9" t="inlineStr">
        <is>
          <t>Provider interface</t>
        </is>
      </c>
      <c r="F34" s="9" t="inlineStr">
        <is>
          <t>Not Run</t>
        </is>
      </c>
      <c r="G34" s="9" t="n"/>
      <c r="H34" s="9" t="n"/>
      <c r="I34" s="9" t="n"/>
      <c r="J34" s="9" t="n"/>
      <c r="K34" s="9" t="n"/>
      <c r="L34" s="9" t="inlineStr">
        <is>
          <t>Mic provider</t>
        </is>
      </c>
      <c r="M34" s="9" t="inlineStr">
        <is>
          <t>Inject</t>
        </is>
      </c>
      <c r="N34" s="9" t="inlineStr">
        <is>
          <t>Funciona como API</t>
        </is>
      </c>
      <c r="O34" s="9" t="inlineStr"/>
    </row>
    <row r="35">
      <c r="A35" s="10" t="inlineStr">
        <is>
          <t>BIO-06</t>
        </is>
      </c>
      <c r="B35" s="10" t="inlineStr">
        <is>
          <t>neom_biofeedback</t>
        </is>
      </c>
      <c r="C35" s="10" t="inlineStr">
        <is>
          <t>Biofeedback</t>
        </is>
      </c>
      <c r="D35" s="10" t="inlineStr">
        <is>
          <t>P2</t>
        </is>
      </c>
      <c r="E35" s="10" t="inlineStr">
        <is>
          <t>Calibración ruido</t>
        </is>
      </c>
      <c r="F35" s="10" t="inlineStr">
        <is>
          <t>Not Run</t>
        </is>
      </c>
      <c r="G35" s="10" t="n"/>
      <c r="H35" s="10" t="n"/>
      <c r="I35" s="10" t="n"/>
      <c r="J35" s="10" t="n"/>
      <c r="K35" s="10" t="n"/>
      <c r="L35" s="10" t="inlineStr">
        <is>
          <t>Ambiente nuevo</t>
        </is>
      </c>
      <c r="M35" s="10" t="inlineStr">
        <is>
          <t>Calibrar</t>
        </is>
      </c>
      <c r="N35" s="10" t="inlineStr">
        <is>
          <t>Baseline OK</t>
        </is>
      </c>
      <c r="O35" s="10" t="inlineStr"/>
    </row>
    <row r="36">
      <c r="A36" s="9" t="inlineStr">
        <is>
          <t>BIO-07</t>
        </is>
      </c>
      <c r="B36" s="9" t="inlineStr">
        <is>
          <t>neom_biofeedback</t>
        </is>
      </c>
      <c r="C36" s="9" t="inlineStr">
        <is>
          <t>Biofeedback</t>
        </is>
      </c>
      <c r="D36" s="9" t="inlineStr">
        <is>
          <t>P2</t>
        </is>
      </c>
      <c r="E36" s="9" t="inlineStr">
        <is>
          <t>Butterworth filter</t>
        </is>
      </c>
      <c r="F36" s="9" t="inlineStr">
        <is>
          <t>Not Run</t>
        </is>
      </c>
      <c r="G36" s="9" t="n"/>
      <c r="H36" s="9" t="n"/>
      <c r="I36" s="9" t="n"/>
      <c r="J36" s="9" t="n"/>
      <c r="K36" s="9" t="n"/>
      <c r="L36" s="9" t="inlineStr">
        <is>
          <t>Audio raw</t>
        </is>
      </c>
      <c r="M36" s="9" t="inlineStr">
        <is>
          <t>Procesar</t>
        </is>
      </c>
      <c r="N36" s="9" t="inlineStr">
        <is>
          <t>100-1200Hz pasa</t>
        </is>
      </c>
      <c r="O36" s="9" t="inlineStr"/>
    </row>
    <row r="37">
      <c r="A37" s="10" t="inlineStr">
        <is>
          <t>HST-01</t>
        </is>
      </c>
      <c r="B37" s="10" t="inlineStr">
        <is>
          <t>neom_historic_state</t>
        </is>
      </c>
      <c r="C37" s="10" t="inlineStr">
        <is>
          <t>HistoricState</t>
        </is>
      </c>
      <c r="D37" s="10" t="inlineStr">
        <is>
          <t>P0</t>
        </is>
      </c>
      <c r="E37" s="10" t="inlineStr">
        <is>
          <t>Iniciar sesión</t>
        </is>
      </c>
      <c r="F37" s="10" t="inlineStr">
        <is>
          <t>Not Run</t>
        </is>
      </c>
      <c r="G37" s="10" t="n"/>
      <c r="H37" s="10" t="n"/>
      <c r="I37" s="10" t="n"/>
      <c r="J37" s="10" t="n"/>
      <c r="K37" s="10" t="n"/>
      <c r="L37" s="10" t="inlineStr">
        <is>
          <t>Login</t>
        </is>
      </c>
      <c r="M37" s="10" t="inlineStr">
        <is>
          <t>/historicState</t>
        </is>
      </c>
      <c r="N37" s="10" t="inlineStr">
        <is>
          <t>UI carga</t>
        </is>
      </c>
      <c r="O37" s="10" t="inlineStr"/>
    </row>
    <row r="38">
      <c r="A38" s="9" t="inlineStr">
        <is>
          <t>HST-02</t>
        </is>
      </c>
      <c r="B38" s="9" t="inlineStr">
        <is>
          <t>neom_historic_state</t>
        </is>
      </c>
      <c r="C38" s="9" t="inlineStr">
        <is>
          <t>HistoricState</t>
        </is>
      </c>
      <c r="D38" s="9" t="inlineStr">
        <is>
          <t>P0</t>
        </is>
      </c>
      <c r="E38" s="9" t="inlineStr">
        <is>
          <t>Fase 1 Anchor</t>
        </is>
      </c>
      <c r="F38" s="9" t="inlineStr">
        <is>
          <t>Not Run</t>
        </is>
      </c>
      <c r="G38" s="9" t="n"/>
      <c r="H38" s="9" t="n"/>
      <c r="I38" s="9" t="n"/>
      <c r="J38" s="9" t="n"/>
      <c r="K38" s="9" t="n"/>
      <c r="L38" s="9" t="inlineStr">
        <is>
          <t>Sesión</t>
        </is>
      </c>
      <c r="M38" s="9" t="inlineStr">
        <is>
          <t>Iniciar</t>
        </is>
      </c>
      <c r="N38" s="9" t="inlineStr">
        <is>
          <t>10Hz mantiene</t>
        </is>
      </c>
      <c r="O38" s="9" t="inlineStr"/>
    </row>
    <row r="39">
      <c r="A39" s="10" t="inlineStr">
        <is>
          <t>HST-03</t>
        </is>
      </c>
      <c r="B39" s="10" t="inlineStr">
        <is>
          <t>neom_historic_state</t>
        </is>
      </c>
      <c r="C39" s="10" t="inlineStr">
        <is>
          <t>HistoricState</t>
        </is>
      </c>
      <c r="D39" s="10" t="inlineStr">
        <is>
          <t>P0</t>
        </is>
      </c>
      <c r="E39" s="10" t="inlineStr">
        <is>
          <t>Fase 2 Diffusion</t>
        </is>
      </c>
      <c r="F39" s="10" t="inlineStr">
        <is>
          <t>Not Run</t>
        </is>
      </c>
      <c r="G39" s="10" t="n"/>
      <c r="H39" s="10" t="n"/>
      <c r="I39" s="10" t="n"/>
      <c r="J39" s="10" t="n"/>
      <c r="K39" s="10" t="n"/>
      <c r="L39" s="10" t="inlineStr">
        <is>
          <t>Anchor OK</t>
        </is>
      </c>
      <c r="M39" s="10" t="inlineStr">
        <is>
          <t>Continuar</t>
        </is>
      </c>
      <c r="N39" s="10" t="inlineStr">
        <is>
          <t>Desciende a ~8.5Hz</t>
        </is>
      </c>
      <c r="O39" s="10" t="inlineStr"/>
    </row>
    <row r="40">
      <c r="A40" s="9" t="inlineStr">
        <is>
          <t>HST-04</t>
        </is>
      </c>
      <c r="B40" s="9" t="inlineStr">
        <is>
          <t>neom_historic_state</t>
        </is>
      </c>
      <c r="C40" s="9" t="inlineStr">
        <is>
          <t>HistoricState</t>
        </is>
      </c>
      <c r="D40" s="9" t="inlineStr">
        <is>
          <t>P0</t>
        </is>
      </c>
      <c r="E40" s="9" t="inlineStr">
        <is>
          <t>Fase 3 ExistentialBase</t>
        </is>
      </c>
      <c r="F40" s="9" t="inlineStr">
        <is>
          <t>Not Run</t>
        </is>
      </c>
      <c r="G40" s="9" t="n"/>
      <c r="H40" s="9" t="n"/>
      <c r="I40" s="9" t="n"/>
      <c r="J40" s="9" t="n"/>
      <c r="K40" s="9" t="n"/>
      <c r="L40" s="9" t="inlineStr">
        <is>
          <t>Diffusion OK</t>
        </is>
      </c>
      <c r="M40" s="9" t="inlineStr">
        <is>
          <t>Continuar</t>
        </is>
      </c>
      <c r="N40" s="9" t="inlineStr">
        <is>
          <t>Llega 7.5Hz</t>
        </is>
      </c>
      <c r="O40" s="9" t="inlineStr"/>
    </row>
    <row r="41">
      <c r="A41" s="10" t="inlineStr">
        <is>
          <t>HST-05</t>
        </is>
      </c>
      <c r="B41" s="10" t="inlineStr">
        <is>
          <t>neom_historic_state</t>
        </is>
      </c>
      <c r="C41" s="10" t="inlineStr">
        <is>
          <t>HistoricState</t>
        </is>
      </c>
      <c r="D41" s="10" t="inlineStr">
        <is>
          <t>P1</t>
        </is>
      </c>
      <c r="E41" s="10" t="inlineStr">
        <is>
          <t>Micro-breaks</t>
        </is>
      </c>
      <c r="F41" s="10" t="inlineStr">
        <is>
          <t>Not Run</t>
        </is>
      </c>
      <c r="G41" s="10" t="n"/>
      <c r="H41" s="10" t="n"/>
      <c r="I41" s="10" t="n"/>
      <c r="J41" s="10" t="n"/>
      <c r="K41" s="10" t="n"/>
      <c r="L41" s="10" t="inlineStr">
        <is>
          <t>Durante sesión</t>
        </is>
      </c>
      <c r="M41" s="10" t="inlineStr">
        <is>
          <t>Wait</t>
        </is>
      </c>
      <c r="N41" s="10" t="inlineStr">
        <is>
          <t>Pausas auto</t>
        </is>
      </c>
      <c r="O41" s="10" t="inlineStr"/>
    </row>
    <row r="42">
      <c r="A42" s="9" t="inlineStr">
        <is>
          <t>HST-06</t>
        </is>
      </c>
      <c r="B42" s="9" t="inlineStr">
        <is>
          <t>neom_historic_state</t>
        </is>
      </c>
      <c r="C42" s="9" t="inlineStr">
        <is>
          <t>HistoricState</t>
        </is>
      </c>
      <c r="D42" s="9" t="inlineStr">
        <is>
          <t>P1</t>
        </is>
      </c>
      <c r="E42" s="9" t="inlineStr">
        <is>
          <t>Resultados fl_chart</t>
        </is>
      </c>
      <c r="F42" s="9" t="inlineStr">
        <is>
          <t>Not Run</t>
        </is>
      </c>
      <c r="G42" s="9" t="n"/>
      <c r="H42" s="9" t="n"/>
      <c r="I42" s="9" t="n"/>
      <c r="J42" s="9" t="n"/>
      <c r="K42" s="9" t="n"/>
      <c r="L42" s="9" t="inlineStr">
        <is>
          <t>Fin sesión</t>
        </is>
      </c>
      <c r="M42" s="9" t="inlineStr">
        <is>
          <t>Ver</t>
        </is>
      </c>
      <c r="N42" s="9" t="inlineStr">
        <is>
          <t>Gráficas</t>
        </is>
      </c>
      <c r="O42" s="9" t="inlineStr"/>
    </row>
    <row r="43">
      <c r="A43" s="10" t="inlineStr">
        <is>
          <t>HST-07</t>
        </is>
      </c>
      <c r="B43" s="10" t="inlineStr">
        <is>
          <t>neom_historic_state</t>
        </is>
      </c>
      <c r="C43" s="10" t="inlineStr">
        <is>
          <t>HistoricState</t>
        </is>
      </c>
      <c r="D43" s="10" t="inlineStr">
        <is>
          <t>P1</t>
        </is>
      </c>
      <c r="E43" s="10" t="inlineStr">
        <is>
          <t>Persistencia historicSessions</t>
        </is>
      </c>
      <c r="F43" s="10" t="inlineStr">
        <is>
          <t>Not Run</t>
        </is>
      </c>
      <c r="G43" s="10" t="n"/>
      <c r="H43" s="10" t="n"/>
      <c r="I43" s="10" t="n"/>
      <c r="J43" s="10" t="n"/>
      <c r="K43" s="10" t="n"/>
      <c r="L43" s="10" t="inlineStr">
        <is>
          <t>Fin</t>
        </is>
      </c>
      <c r="M43" s="10" t="inlineStr">
        <is>
          <t>Reiniciar</t>
        </is>
      </c>
      <c r="N43" s="10" t="inlineStr">
        <is>
          <t>En Firestore</t>
        </is>
      </c>
      <c r="O43" s="10" t="inlineStr"/>
    </row>
    <row r="44">
      <c r="A44" s="9" t="inlineStr">
        <is>
          <t>HST-08</t>
        </is>
      </c>
      <c r="B44" s="9" t="inlineStr">
        <is>
          <t>neom_historic_state</t>
        </is>
      </c>
      <c r="C44" s="9" t="inlineStr">
        <is>
          <t>HistoricState</t>
        </is>
      </c>
      <c r="D44" s="9" t="inlineStr">
        <is>
          <t>P2</t>
        </is>
      </c>
      <c r="E44" s="9" t="inlineStr">
        <is>
          <t>Translations 4 idiomas</t>
        </is>
      </c>
      <c r="F44" s="9" t="inlineStr">
        <is>
          <t>Not Run</t>
        </is>
      </c>
      <c r="G44" s="9" t="n"/>
      <c r="H44" s="9" t="n"/>
      <c r="I44" s="9" t="n"/>
      <c r="J44" s="9" t="n"/>
      <c r="K44" s="9" t="n"/>
      <c r="L44" s="9" t="inlineStr">
        <is>
          <t>Settings</t>
        </is>
      </c>
      <c r="M44" s="9" t="inlineStr">
        <is>
          <t>Switch</t>
        </is>
      </c>
      <c r="N44" s="9" t="inlineStr">
        <is>
          <t>ES/EN/FR/DE</t>
        </is>
      </c>
      <c r="O44" s="9" t="inlineStr"/>
    </row>
    <row r="45">
      <c r="A45" s="10" t="inlineStr">
        <is>
          <t>FRQ-01</t>
        </is>
      </c>
      <c r="B45" s="10" t="inlineStr">
        <is>
          <t>neom_frequencies</t>
        </is>
      </c>
      <c r="C45" s="10" t="inlineStr">
        <is>
          <t>Frequencies</t>
        </is>
      </c>
      <c r="D45" s="10" t="inlineStr">
        <is>
          <t>P1</t>
        </is>
      </c>
      <c r="E45" s="10" t="inlineStr">
        <is>
          <t>Catálogo frecuencias</t>
        </is>
      </c>
      <c r="F45" s="10" t="inlineStr">
        <is>
          <t>Not Run</t>
        </is>
      </c>
      <c r="G45" s="10" t="n"/>
      <c r="H45" s="10" t="n"/>
      <c r="I45" s="10" t="n"/>
      <c r="J45" s="10" t="n"/>
      <c r="K45" s="10" t="n"/>
      <c r="L45" s="10" t="inlineStr">
        <is>
          <t>Login</t>
        </is>
      </c>
      <c r="M45" s="10" t="inlineStr">
        <is>
          <t>/frequencies</t>
        </is>
      </c>
      <c r="N45" s="10" t="inlineStr">
        <is>
          <t>Lista</t>
        </is>
      </c>
      <c r="O45" s="10" t="inlineStr"/>
    </row>
    <row r="46">
      <c r="A46" s="9" t="inlineStr">
        <is>
          <t>FRQ-02</t>
        </is>
      </c>
      <c r="B46" s="9" t="inlineStr">
        <is>
          <t>neom_frequencies</t>
        </is>
      </c>
      <c r="C46" s="9" t="inlineStr">
        <is>
          <t>Frequencies</t>
        </is>
      </c>
      <c r="D46" s="9" t="inlineStr">
        <is>
          <t>P1</t>
        </is>
      </c>
      <c r="E46" s="9" t="inlineStr">
        <is>
          <t>Reproducir 528Hz</t>
        </is>
      </c>
      <c r="F46" s="9" t="inlineStr">
        <is>
          <t>Not Run</t>
        </is>
      </c>
      <c r="G46" s="9" t="n"/>
      <c r="H46" s="9" t="n"/>
      <c r="I46" s="9" t="n"/>
      <c r="J46" s="9" t="n"/>
      <c r="K46" s="9" t="n"/>
      <c r="L46" s="9" t="inlineStr">
        <is>
          <t>Frequency</t>
        </is>
      </c>
      <c r="M46" s="9" t="inlineStr">
        <is>
          <t>Play</t>
        </is>
      </c>
      <c r="N46" s="9" t="inlineStr">
        <is>
          <t>Tono</t>
        </is>
      </c>
      <c r="O46" s="9" t="inlineStr"/>
    </row>
    <row r="47">
      <c r="A47" s="10" t="inlineStr">
        <is>
          <t>FRQ-03</t>
        </is>
      </c>
      <c r="B47" s="10" t="inlineStr">
        <is>
          <t>neom_frequencies</t>
        </is>
      </c>
      <c r="C47" s="10" t="inlineStr">
        <is>
          <t>Frequencies</t>
        </is>
      </c>
      <c r="D47" s="10" t="inlineStr">
        <is>
          <t>P1</t>
        </is>
      </c>
      <c r="E47" s="10" t="inlineStr">
        <is>
          <t>Reproducir 432Hz</t>
        </is>
      </c>
      <c r="F47" s="10" t="inlineStr">
        <is>
          <t>Not Run</t>
        </is>
      </c>
      <c r="G47" s="10" t="n"/>
      <c r="H47" s="10" t="n"/>
      <c r="I47" s="10" t="n"/>
      <c r="J47" s="10" t="n"/>
      <c r="K47" s="10" t="n"/>
      <c r="L47" s="10" t="inlineStr">
        <is>
          <t>Frequency</t>
        </is>
      </c>
      <c r="M47" s="10" t="inlineStr">
        <is>
          <t>Play</t>
        </is>
      </c>
      <c r="N47" s="10" t="inlineStr">
        <is>
          <t>Tono</t>
        </is>
      </c>
      <c r="O47" s="10" t="inlineStr"/>
    </row>
    <row r="48">
      <c r="A48" s="9" t="inlineStr">
        <is>
          <t>FRQ-04</t>
        </is>
      </c>
      <c r="B48" s="9" t="inlineStr">
        <is>
          <t>neom_frequencies</t>
        </is>
      </c>
      <c r="C48" s="9" t="inlineStr">
        <is>
          <t>Frequencies</t>
        </is>
      </c>
      <c r="D48" s="9" t="inlineStr">
        <is>
          <t>P2</t>
        </is>
      </c>
      <c r="E48" s="9" t="inlineStr">
        <is>
          <t>Combinar dos frecuencias</t>
        </is>
      </c>
      <c r="F48" s="9" t="inlineStr">
        <is>
          <t>Not Run</t>
        </is>
      </c>
      <c r="G48" s="9" t="n"/>
      <c r="H48" s="9" t="n"/>
      <c r="I48" s="9" t="n"/>
      <c r="J48" s="9" t="n"/>
      <c r="K48" s="9" t="n"/>
      <c r="L48" s="9" t="inlineStr">
        <is>
          <t>Multi</t>
        </is>
      </c>
      <c r="M48" s="9" t="inlineStr">
        <is>
          <t>Mix</t>
        </is>
      </c>
      <c r="N48" s="9" t="inlineStr">
        <is>
          <t>Beat</t>
        </is>
      </c>
      <c r="O48" s="9" t="inlineStr"/>
    </row>
    <row r="49">
      <c r="A49" s="10" t="inlineStr">
        <is>
          <t>FRQ-05</t>
        </is>
      </c>
      <c r="B49" s="10" t="inlineStr">
        <is>
          <t>neom_frequencies</t>
        </is>
      </c>
      <c r="C49" s="10" t="inlineStr">
        <is>
          <t>Frequencies</t>
        </is>
      </c>
      <c r="D49" s="10" t="inlineStr">
        <is>
          <t>P2</t>
        </is>
      </c>
      <c r="E49" s="10" t="inlineStr">
        <is>
          <t>Timer auto-stop</t>
        </is>
      </c>
      <c r="F49" s="10" t="inlineStr">
        <is>
          <t>Not Run</t>
        </is>
      </c>
      <c r="G49" s="10" t="n"/>
      <c r="H49" s="10" t="n"/>
      <c r="I49" s="10" t="n"/>
      <c r="J49" s="10" t="n"/>
      <c r="K49" s="10" t="n"/>
      <c r="L49" s="10" t="inlineStr">
        <is>
          <t>Frequency</t>
        </is>
      </c>
      <c r="M49" s="10" t="inlineStr">
        <is>
          <t>Set timer</t>
        </is>
      </c>
      <c r="N49" s="10" t="inlineStr">
        <is>
          <t>Detiene</t>
        </is>
      </c>
      <c r="O49" s="10" t="inlineStr"/>
    </row>
    <row r="50">
      <c r="A50" s="9" t="inlineStr">
        <is>
          <t>STA-01</t>
        </is>
      </c>
      <c r="B50" s="9" t="inlineStr">
        <is>
          <t>neom_states</t>
        </is>
      </c>
      <c r="C50" s="9" t="inlineStr">
        <is>
          <t>States</t>
        </is>
      </c>
      <c r="D50" s="9" t="inlineStr">
        <is>
          <t>P1</t>
        </is>
      </c>
      <c r="E50" s="9" t="inlineStr">
        <is>
          <t>Lista de states</t>
        </is>
      </c>
      <c r="F50" s="9" t="inlineStr">
        <is>
          <t>Not Run</t>
        </is>
      </c>
      <c r="G50" s="9" t="n"/>
      <c r="H50" s="9" t="n"/>
      <c r="I50" s="9" t="n"/>
      <c r="J50" s="9" t="n"/>
      <c r="K50" s="9" t="n"/>
      <c r="L50" s="9" t="inlineStr">
        <is>
          <t>Login</t>
        </is>
      </c>
      <c r="M50" s="9" t="inlineStr">
        <is>
          <t>/states</t>
        </is>
      </c>
      <c r="N50" s="9" t="inlineStr">
        <is>
          <t>Estados emocionales</t>
        </is>
      </c>
      <c r="O50" s="9" t="inlineStr"/>
    </row>
    <row r="51">
      <c r="A51" s="10" t="inlineStr">
        <is>
          <t>STA-02</t>
        </is>
      </c>
      <c r="B51" s="10" t="inlineStr">
        <is>
          <t>neom_states</t>
        </is>
      </c>
      <c r="C51" s="10" t="inlineStr">
        <is>
          <t>States</t>
        </is>
      </c>
      <c r="D51" s="10" t="inlineStr">
        <is>
          <t>P1</t>
        </is>
      </c>
      <c r="E51" s="10" t="inlineStr">
        <is>
          <t>Seleccionar state</t>
        </is>
      </c>
      <c r="F51" s="10" t="inlineStr">
        <is>
          <t>Not Run</t>
        </is>
      </c>
      <c r="G51" s="10" t="n"/>
      <c r="H51" s="10" t="n"/>
      <c r="I51" s="10" t="n"/>
      <c r="J51" s="10" t="n"/>
      <c r="K51" s="10" t="n"/>
      <c r="L51" s="10" t="inlineStr">
        <is>
          <t>States</t>
        </is>
      </c>
      <c r="M51" s="10" t="inlineStr">
        <is>
          <t>Pick</t>
        </is>
      </c>
      <c r="N51" s="10" t="inlineStr">
        <is>
          <t>Score guardado</t>
        </is>
      </c>
      <c r="O51" s="10" t="inlineStr"/>
    </row>
    <row r="52">
      <c r="A52" s="9" t="inlineStr">
        <is>
          <t>STA-03</t>
        </is>
      </c>
      <c r="B52" s="9" t="inlineStr">
        <is>
          <t>neom_states</t>
        </is>
      </c>
      <c r="C52" s="9" t="inlineStr">
        <is>
          <t>States</t>
        </is>
      </c>
      <c r="D52" s="9" t="inlineStr">
        <is>
          <t>P2</t>
        </is>
      </c>
      <c r="E52" s="9" t="inlineStr">
        <is>
          <t>Histórico states</t>
        </is>
      </c>
      <c r="F52" s="9" t="inlineStr">
        <is>
          <t>Not Run</t>
        </is>
      </c>
      <c r="G52" s="9" t="n"/>
      <c r="H52" s="9" t="n"/>
      <c r="I52" s="9" t="n"/>
      <c r="J52" s="9" t="n"/>
      <c r="K52" s="9" t="n"/>
      <c r="L52" s="9" t="inlineStr">
        <is>
          <t>Multiple</t>
        </is>
      </c>
      <c r="M52" s="9" t="inlineStr">
        <is>
          <t>Ver</t>
        </is>
      </c>
      <c r="N52" s="9" t="inlineStr">
        <is>
          <t>Línea temporal</t>
        </is>
      </c>
      <c r="O52" s="9" t="inlineStr"/>
    </row>
    <row r="53">
      <c r="A53" s="10" t="inlineStr">
        <is>
          <t>VR-01</t>
        </is>
      </c>
      <c r="B53" s="10" t="inlineStr">
        <is>
          <t>neom_vr</t>
        </is>
      </c>
      <c r="C53" s="10" t="inlineStr">
        <is>
          <t>VR</t>
        </is>
      </c>
      <c r="D53" s="10" t="inlineStr">
        <is>
          <t>P2</t>
        </is>
      </c>
      <c r="E53" s="10" t="inlineStr">
        <is>
          <t>Catálogo VR</t>
        </is>
      </c>
      <c r="F53" s="10" t="inlineStr">
        <is>
          <t>Not Run</t>
        </is>
      </c>
      <c r="G53" s="10" t="n"/>
      <c r="H53" s="10" t="n"/>
      <c r="I53" s="10" t="n"/>
      <c r="J53" s="10" t="n"/>
      <c r="K53" s="10" t="n"/>
      <c r="L53" s="10" t="inlineStr">
        <is>
          <t>Login</t>
        </is>
      </c>
      <c r="M53" s="10" t="inlineStr">
        <is>
          <t>Drawer &gt; VR</t>
        </is>
      </c>
      <c r="N53" s="10" t="inlineStr">
        <is>
          <t>Lista experiencias</t>
        </is>
      </c>
      <c r="O53" s="10" t="inlineStr">
        <is>
          <t>⚠ Web-limited</t>
        </is>
      </c>
    </row>
    <row r="54">
      <c r="A54" s="9" t="inlineStr">
        <is>
          <t>VR-02</t>
        </is>
      </c>
      <c r="B54" s="9" t="inlineStr">
        <is>
          <t>neom_vr</t>
        </is>
      </c>
      <c r="C54" s="9" t="inlineStr">
        <is>
          <t>VR</t>
        </is>
      </c>
      <c r="D54" s="9" t="inlineStr">
        <is>
          <t>P2</t>
        </is>
      </c>
      <c r="E54" s="9" t="inlineStr">
        <is>
          <t>Iniciar experiencia</t>
        </is>
      </c>
      <c r="F54" s="9" t="inlineStr">
        <is>
          <t>Not Run</t>
        </is>
      </c>
      <c r="G54" s="9" t="n"/>
      <c r="H54" s="9" t="n"/>
      <c r="I54" s="9" t="n"/>
      <c r="J54" s="9" t="n"/>
      <c r="K54" s="9" t="n"/>
      <c r="L54" s="9" t="inlineStr">
        <is>
          <t>VR</t>
        </is>
      </c>
      <c r="M54" s="9" t="inlineStr">
        <is>
          <t>Start</t>
        </is>
      </c>
      <c r="N54" s="9" t="inlineStr">
        <is>
          <t>Carga 360°</t>
        </is>
      </c>
      <c r="O54" s="9" t="inlineStr">
        <is>
          <t>⚠ Web-limited</t>
        </is>
      </c>
    </row>
    <row r="55">
      <c r="A55" s="10" t="inlineStr">
        <is>
          <t>VR-03</t>
        </is>
      </c>
      <c r="B55" s="10" t="inlineStr">
        <is>
          <t>neom_vr</t>
        </is>
      </c>
      <c r="C55" s="10" t="inlineStr">
        <is>
          <t>VR</t>
        </is>
      </c>
      <c r="D55" s="10" t="inlineStr">
        <is>
          <t>P3</t>
        </is>
      </c>
      <c r="E55" s="10" t="inlineStr">
        <is>
          <t>Compatibilidad headset</t>
        </is>
      </c>
      <c r="F55" s="10" t="inlineStr">
        <is>
          <t>Not Run</t>
        </is>
      </c>
      <c r="G55" s="10" t="n"/>
      <c r="H55" s="10" t="n"/>
      <c r="I55" s="10" t="n"/>
      <c r="J55" s="10" t="n"/>
      <c r="K55" s="10" t="n"/>
      <c r="L55" s="10" t="inlineStr">
        <is>
          <t>Quest</t>
        </is>
      </c>
      <c r="M55" s="10" t="inlineStr">
        <is>
          <t>Conectar</t>
        </is>
      </c>
      <c r="N55" s="10" t="inlineStr">
        <is>
          <t>Detecta</t>
        </is>
      </c>
      <c r="O55" s="10" t="inlineStr">
        <is>
          <t>🚫 Web-excluded</t>
        </is>
      </c>
    </row>
    <row r="56">
      <c r="A56" s="9" t="inlineStr">
        <is>
          <t>EXP-01</t>
        </is>
      </c>
      <c r="B56" s="9" t="inlineStr">
        <is>
          <t>neom_experiences</t>
        </is>
      </c>
      <c r="C56" s="9" t="inlineStr">
        <is>
          <t>Experiences</t>
        </is>
      </c>
      <c r="D56" s="9" t="inlineStr">
        <is>
          <t>P1</t>
        </is>
      </c>
      <c r="E56" s="9" t="inlineStr">
        <is>
          <t>Catálogo experiencias</t>
        </is>
      </c>
      <c r="F56" s="9" t="inlineStr">
        <is>
          <t>Not Run</t>
        </is>
      </c>
      <c r="G56" s="9" t="n"/>
      <c r="H56" s="9" t="n"/>
      <c r="I56" s="9" t="n"/>
      <c r="J56" s="9" t="n"/>
      <c r="K56" s="9" t="n"/>
      <c r="L56" s="9" t="inlineStr">
        <is>
          <t>Login</t>
        </is>
      </c>
      <c r="M56" s="9" t="inlineStr">
        <is>
          <t>/experiences</t>
        </is>
      </c>
      <c r="N56" s="9" t="inlineStr">
        <is>
          <t>Lista</t>
        </is>
      </c>
      <c r="O56" s="9" t="inlineStr"/>
    </row>
    <row r="57">
      <c r="A57" s="10" t="inlineStr">
        <is>
          <t>EXP-02</t>
        </is>
      </c>
      <c r="B57" s="10" t="inlineStr">
        <is>
          <t>neom_experiences</t>
        </is>
      </c>
      <c r="C57" s="10" t="inlineStr">
        <is>
          <t>Experiences</t>
        </is>
      </c>
      <c r="D57" s="10" t="inlineStr">
        <is>
          <t>P1</t>
        </is>
      </c>
      <c r="E57" s="10" t="inlineStr">
        <is>
          <t>Detalle experiencia</t>
        </is>
      </c>
      <c r="F57" s="10" t="inlineStr">
        <is>
          <t>Not Run</t>
        </is>
      </c>
      <c r="G57" s="10" t="n"/>
      <c r="H57" s="10" t="n"/>
      <c r="I57" s="10" t="n"/>
      <c r="J57" s="10" t="n"/>
      <c r="K57" s="10" t="n"/>
      <c r="L57" s="10" t="inlineStr">
        <is>
          <t>Catálogo</t>
        </is>
      </c>
      <c r="M57" s="10" t="inlineStr">
        <is>
          <t>Click</t>
        </is>
      </c>
      <c r="N57" s="10" t="inlineStr">
        <is>
          <t>Info</t>
        </is>
      </c>
      <c r="O57" s="10" t="inlineStr"/>
    </row>
    <row r="58">
      <c r="A58" s="9" t="inlineStr">
        <is>
          <t>EXP-03</t>
        </is>
      </c>
      <c r="B58" s="9" t="inlineStr">
        <is>
          <t>neom_experiences</t>
        </is>
      </c>
      <c r="C58" s="9" t="inlineStr">
        <is>
          <t>Experiences</t>
        </is>
      </c>
      <c r="D58" s="9" t="inlineStr">
        <is>
          <t>P2</t>
        </is>
      </c>
      <c r="E58" s="9" t="inlineStr">
        <is>
          <t>Reservar</t>
        </is>
      </c>
      <c r="F58" s="9" t="inlineStr">
        <is>
          <t>Not Run</t>
        </is>
      </c>
      <c r="G58" s="9" t="n"/>
      <c r="H58" s="9" t="n"/>
      <c r="I58" s="9" t="n"/>
      <c r="J58" s="9" t="n"/>
      <c r="K58" s="9" t="n"/>
      <c r="L58" s="9" t="inlineStr">
        <is>
          <t>Detalle</t>
        </is>
      </c>
      <c r="M58" s="9" t="inlineStr">
        <is>
          <t>Book</t>
        </is>
      </c>
      <c r="N58" s="9" t="inlineStr">
        <is>
          <t>Pago</t>
        </is>
      </c>
      <c r="O58" s="9" t="inlineStr"/>
    </row>
    <row r="59">
      <c r="A59" s="10" t="inlineStr">
        <is>
          <t>GEN-01</t>
        </is>
      </c>
      <c r="B59" s="10" t="inlineStr">
        <is>
          <t>neom_generator</t>
        </is>
      </c>
      <c r="C59" s="10" t="inlineStr">
        <is>
          <t>Generator</t>
        </is>
      </c>
      <c r="D59" s="10" t="inlineStr">
        <is>
          <t>P2</t>
        </is>
      </c>
      <c r="E59" s="10" t="inlineStr">
        <is>
          <t>Generar contenido</t>
        </is>
      </c>
      <c r="F59" s="10" t="inlineStr">
        <is>
          <t>Not Run</t>
        </is>
      </c>
      <c r="G59" s="10" t="n"/>
      <c r="H59" s="10" t="n"/>
      <c r="I59" s="10" t="n"/>
      <c r="J59" s="10" t="n"/>
      <c r="K59" s="10" t="n"/>
      <c r="L59" s="10" t="inlineStr">
        <is>
          <t>Login</t>
        </is>
      </c>
      <c r="M59" s="10" t="inlineStr">
        <is>
          <t>Use generator</t>
        </is>
      </c>
      <c r="N59" s="10" t="inlineStr">
        <is>
          <t>Output</t>
        </is>
      </c>
      <c r="O59" s="10" t="inlineStr"/>
    </row>
    <row r="60">
      <c r="A60" s="9" t="inlineStr">
        <is>
          <t>INT-01</t>
        </is>
      </c>
      <c r="B60" s="9" t="inlineStr">
        <is>
          <t>neom_inter</t>
        </is>
      </c>
      <c r="C60" s="9" t="inlineStr">
        <is>
          <t>Inter</t>
        </is>
      </c>
      <c r="D60" s="9" t="inlineStr">
        <is>
          <t>P2</t>
        </is>
      </c>
      <c r="E60" s="9" t="inlineStr">
        <is>
          <t>Sesión interactiva</t>
        </is>
      </c>
      <c r="F60" s="9" t="inlineStr">
        <is>
          <t>Not Run</t>
        </is>
      </c>
      <c r="G60" s="9" t="n"/>
      <c r="H60" s="9" t="n"/>
      <c r="I60" s="9" t="n"/>
      <c r="J60" s="9" t="n"/>
      <c r="K60" s="9" t="n"/>
      <c r="L60" s="9" t="inlineStr">
        <is>
          <t>Login</t>
        </is>
      </c>
      <c r="M60" s="9" t="inlineStr">
        <is>
          <t>Start</t>
        </is>
      </c>
      <c r="N60" s="9" t="inlineStr">
        <is>
          <t>Interactive content</t>
        </is>
      </c>
      <c r="O60" s="9" t="inlineStr"/>
    </row>
    <row r="61">
      <c r="A61" s="10" t="inlineStr">
        <is>
          <t>DLD-01</t>
        </is>
      </c>
      <c r="B61" s="10" t="inlineStr">
        <is>
          <t>neom_downloads</t>
        </is>
      </c>
      <c r="C61" s="10" t="inlineStr">
        <is>
          <t>Downloads</t>
        </is>
      </c>
      <c r="D61" s="10" t="inlineStr">
        <is>
          <t>P2</t>
        </is>
      </c>
      <c r="E61" s="10" t="inlineStr">
        <is>
          <t>Descargar contenido offline</t>
        </is>
      </c>
      <c r="F61" s="10" t="inlineStr">
        <is>
          <t>Not Run</t>
        </is>
      </c>
      <c r="G61" s="10" t="n"/>
      <c r="H61" s="10" t="n"/>
      <c r="I61" s="10" t="n"/>
      <c r="J61" s="10" t="n"/>
      <c r="K61" s="10" t="n"/>
      <c r="L61" s="10" t="inlineStr">
        <is>
          <t>Login</t>
        </is>
      </c>
      <c r="M61" s="10" t="inlineStr">
        <is>
          <t>Download</t>
        </is>
      </c>
      <c r="N61" s="10" t="inlineStr">
        <is>
          <t>Disponible offline</t>
        </is>
      </c>
      <c r="O61" s="10" t="inlineStr">
        <is>
          <t>⚠ Web-limited</t>
        </is>
      </c>
    </row>
    <row r="62">
      <c r="A62" s="9" t="inlineStr">
        <is>
          <t>PRF-01</t>
        </is>
      </c>
      <c r="B62" s="9" t="inlineStr">
        <is>
          <t>neom_profile</t>
        </is>
      </c>
      <c r="C62" s="9" t="inlineStr">
        <is>
          <t>Profile</t>
        </is>
      </c>
      <c r="D62" s="9" t="inlineStr">
        <is>
          <t>P0</t>
        </is>
      </c>
      <c r="E62" s="9" t="inlineStr">
        <is>
          <t>Ver perfil</t>
        </is>
      </c>
      <c r="F62" s="9" t="inlineStr">
        <is>
          <t>Not Run</t>
        </is>
      </c>
      <c r="G62" s="9" t="n"/>
      <c r="H62" s="9" t="n"/>
      <c r="I62" s="9" t="n"/>
      <c r="J62" s="9" t="n"/>
      <c r="K62" s="9" t="n"/>
      <c r="L62" s="9" t="inlineStr">
        <is>
          <t>Login</t>
        </is>
      </c>
      <c r="M62" s="9" t="inlineStr">
        <is>
          <t>Drawer &gt; Profile</t>
        </is>
      </c>
      <c r="N62" s="9" t="inlineStr">
        <is>
          <t>Datos</t>
        </is>
      </c>
      <c r="O62" s="9" t="inlineStr"/>
    </row>
    <row r="63">
      <c r="A63" s="10" t="inlineStr">
        <is>
          <t>PRF-02</t>
        </is>
      </c>
      <c r="B63" s="10" t="inlineStr">
        <is>
          <t>neom_profile</t>
        </is>
      </c>
      <c r="C63" s="10" t="inlineStr">
        <is>
          <t>Profile</t>
        </is>
      </c>
      <c r="D63" s="10" t="inlineStr">
        <is>
          <t>P0</t>
        </is>
      </c>
      <c r="E63" s="10" t="inlineStr">
        <is>
          <t>Editar perfil</t>
        </is>
      </c>
      <c r="F63" s="10" t="inlineStr">
        <is>
          <t>Not Run</t>
        </is>
      </c>
      <c r="G63" s="10" t="n"/>
      <c r="H63" s="10" t="n"/>
      <c r="I63" s="10" t="n"/>
      <c r="J63" s="10" t="n"/>
      <c r="K63" s="10" t="n"/>
      <c r="L63" s="10" t="inlineStr">
        <is>
          <t>Login</t>
        </is>
      </c>
      <c r="M63" s="10" t="inlineStr">
        <is>
          <t>Edit &gt; Save</t>
        </is>
      </c>
      <c r="N63" s="10" t="inlineStr">
        <is>
          <t>Guarda</t>
        </is>
      </c>
      <c r="O63" s="10" t="inlineStr"/>
    </row>
    <row r="64">
      <c r="A64" s="9" t="inlineStr">
        <is>
          <t>PRF-03</t>
        </is>
      </c>
      <c r="B64" s="9" t="inlineStr">
        <is>
          <t>neom_profile</t>
        </is>
      </c>
      <c r="C64" s="9" t="inlineStr">
        <is>
          <t>Profile</t>
        </is>
      </c>
      <c r="D64" s="9" t="inlineStr">
        <is>
          <t>P1</t>
        </is>
      </c>
      <c r="E64" s="9" t="inlineStr">
        <is>
          <t>Cambiar foto</t>
        </is>
      </c>
      <c r="F64" s="9" t="inlineStr">
        <is>
          <t>Not Run</t>
        </is>
      </c>
      <c r="G64" s="9" t="n"/>
      <c r="H64" s="9" t="n"/>
      <c r="I64" s="9" t="n"/>
      <c r="J64" s="9" t="n"/>
      <c r="K64" s="9" t="n"/>
      <c r="L64" s="9" t="inlineStr">
        <is>
          <t>Login</t>
        </is>
      </c>
      <c r="M64" s="9" t="inlineStr">
        <is>
          <t>Upload</t>
        </is>
      </c>
      <c r="N64" s="9" t="inlineStr">
        <is>
          <t>Avatar</t>
        </is>
      </c>
      <c r="O64" s="9" t="inlineStr"/>
    </row>
    <row r="65">
      <c r="A65" s="10" t="inlineStr">
        <is>
          <t>PRF-04</t>
        </is>
      </c>
      <c r="B65" s="10" t="inlineStr">
        <is>
          <t>neom_profile</t>
        </is>
      </c>
      <c r="C65" s="10" t="inlineStr">
        <is>
          <t>Profile</t>
        </is>
      </c>
      <c r="D65" s="10" t="inlineStr">
        <is>
          <t>P1</t>
        </is>
      </c>
      <c r="E65" s="10" t="inlineStr">
        <is>
          <t>Perfil otro</t>
        </is>
      </c>
      <c r="F65" s="10" t="inlineStr">
        <is>
          <t>Not Run</t>
        </is>
      </c>
      <c r="G65" s="10" t="n"/>
      <c r="H65" s="10" t="n"/>
      <c r="I65" s="10" t="n"/>
      <c r="J65" s="10" t="n"/>
      <c r="K65" s="10" t="n"/>
      <c r="L65" s="10" t="inlineStr">
        <is>
          <t>Login</t>
        </is>
      </c>
      <c r="M65" s="10" t="inlineStr">
        <is>
          <t>Abrir</t>
        </is>
      </c>
      <c r="N65" s="10" t="inlineStr">
        <is>
          <t>Datos públicos</t>
        </is>
      </c>
      <c r="O65" s="10" t="inlineStr"/>
    </row>
    <row r="66">
      <c r="A66" s="9" t="inlineStr">
        <is>
          <t>MAT-01</t>
        </is>
      </c>
      <c r="B66" s="9" t="inlineStr">
        <is>
          <t>neom_mates</t>
        </is>
      </c>
      <c r="C66" s="9" t="inlineStr">
        <is>
          <t>Mates</t>
        </is>
      </c>
      <c r="D66" s="9" t="inlineStr">
        <is>
          <t>P1</t>
        </is>
      </c>
      <c r="E66" s="9" t="inlineStr">
        <is>
          <t>Lista mates</t>
        </is>
      </c>
      <c r="F66" s="9" t="inlineStr">
        <is>
          <t>Not Run</t>
        </is>
      </c>
      <c r="G66" s="9" t="n"/>
      <c r="H66" s="9" t="n"/>
      <c r="I66" s="9" t="n"/>
      <c r="J66" s="9" t="n"/>
      <c r="K66" s="9" t="n"/>
      <c r="L66" s="9" t="inlineStr">
        <is>
          <t>Login</t>
        </is>
      </c>
      <c r="M66" s="9" t="inlineStr">
        <is>
          <t>Mates</t>
        </is>
      </c>
      <c r="N66" s="9" t="inlineStr">
        <is>
          <t>Lista</t>
        </is>
      </c>
      <c r="O66" s="9" t="inlineStr"/>
    </row>
    <row r="67">
      <c r="A67" s="10" t="inlineStr">
        <is>
          <t>MAT-02</t>
        </is>
      </c>
      <c r="B67" s="10" t="inlineStr">
        <is>
          <t>neom_mates</t>
        </is>
      </c>
      <c r="C67" s="10" t="inlineStr">
        <is>
          <t>Mates</t>
        </is>
      </c>
      <c r="D67" s="10" t="inlineStr">
        <is>
          <t>P2</t>
        </is>
      </c>
      <c r="E67" s="10" t="inlineStr">
        <is>
          <t>Pedir mate</t>
        </is>
      </c>
      <c r="F67" s="10" t="inlineStr">
        <is>
          <t>Not Run</t>
        </is>
      </c>
      <c r="G67" s="10" t="n"/>
      <c r="H67" s="10" t="n"/>
      <c r="I67" s="10" t="n"/>
      <c r="J67" s="10" t="n"/>
      <c r="K67" s="10" t="n"/>
      <c r="L67" s="10" t="inlineStr">
        <is>
          <t>Otro perfil</t>
        </is>
      </c>
      <c r="M67" s="10" t="inlineStr">
        <is>
          <t>Send</t>
        </is>
      </c>
      <c r="N67" s="10" t="inlineStr">
        <is>
          <t>Pendiente</t>
        </is>
      </c>
      <c r="O67" s="10" t="inlineStr"/>
    </row>
    <row r="68">
      <c r="A68" s="9" t="inlineStr">
        <is>
          <t>HOM-01</t>
        </is>
      </c>
      <c r="B68" s="9" t="inlineStr">
        <is>
          <t>neom_home</t>
        </is>
      </c>
      <c r="C68" s="9" t="inlineStr">
        <is>
          <t>Home</t>
        </is>
      </c>
      <c r="D68" s="9" t="inlineStr">
        <is>
          <t>P0</t>
        </is>
      </c>
      <c r="E68" s="9" t="inlineStr">
        <is>
          <t>Feed carga</t>
        </is>
      </c>
      <c r="F68" s="9" t="inlineStr">
        <is>
          <t>Not Run</t>
        </is>
      </c>
      <c r="G68" s="9" t="n"/>
      <c r="H68" s="9" t="n"/>
      <c r="I68" s="9" t="n"/>
      <c r="J68" s="9" t="n"/>
      <c r="K68" s="9" t="n"/>
      <c r="L68" s="9" t="inlineStr">
        <is>
          <t>Login</t>
        </is>
      </c>
      <c r="M68" s="9" t="inlineStr">
        <is>
          <t>Home</t>
        </is>
      </c>
      <c r="N68" s="9" t="inlineStr">
        <is>
          <t>Posts visibles</t>
        </is>
      </c>
      <c r="O68" s="9" t="inlineStr"/>
    </row>
    <row r="69">
      <c r="A69" s="10" t="inlineStr">
        <is>
          <t>HOM-02</t>
        </is>
      </c>
      <c r="B69" s="10" t="inlineStr">
        <is>
          <t>neom_home</t>
        </is>
      </c>
      <c r="C69" s="10" t="inlineStr">
        <is>
          <t>Home</t>
        </is>
      </c>
      <c r="D69" s="10" t="inlineStr">
        <is>
          <t>P1</t>
        </is>
      </c>
      <c r="E69" s="10" t="inlineStr">
        <is>
          <t>Scroll infinito</t>
        </is>
      </c>
      <c r="F69" s="10" t="inlineStr">
        <is>
          <t>Not Run</t>
        </is>
      </c>
      <c r="G69" s="10" t="n"/>
      <c r="H69" s="10" t="n"/>
      <c r="I69" s="10" t="n"/>
      <c r="J69" s="10" t="n"/>
      <c r="K69" s="10" t="n"/>
      <c r="L69" s="10" t="inlineStr">
        <is>
          <t>Login</t>
        </is>
      </c>
      <c r="M69" s="10" t="inlineStr">
        <is>
          <t>Scroll</t>
        </is>
      </c>
      <c r="N69" s="10" t="inlineStr">
        <is>
          <t>+ contenido</t>
        </is>
      </c>
      <c r="O69" s="10" t="inlineStr"/>
    </row>
    <row r="70">
      <c r="A70" s="9" t="inlineStr">
        <is>
          <t>HOM-03</t>
        </is>
      </c>
      <c r="B70" s="9" t="inlineStr">
        <is>
          <t>neom_home</t>
        </is>
      </c>
      <c r="C70" s="9" t="inlineStr">
        <is>
          <t>Home</t>
        </is>
      </c>
      <c r="D70" s="9" t="inlineStr">
        <is>
          <t>P1</t>
        </is>
      </c>
      <c r="E70" s="9" t="inlineStr">
        <is>
          <t>Pull refresh</t>
        </is>
      </c>
      <c r="F70" s="9" t="inlineStr">
        <is>
          <t>Not Run</t>
        </is>
      </c>
      <c r="G70" s="9" t="n"/>
      <c r="H70" s="9" t="n"/>
      <c r="I70" s="9" t="n"/>
      <c r="J70" s="9" t="n"/>
      <c r="K70" s="9" t="n"/>
      <c r="L70" s="9" t="inlineStr">
        <is>
          <t>Login</t>
        </is>
      </c>
      <c r="M70" s="9" t="inlineStr">
        <is>
          <t>F5</t>
        </is>
      </c>
      <c r="N70" s="9" t="inlineStr">
        <is>
          <t>Actualiza</t>
        </is>
      </c>
      <c r="O70" s="9" t="inlineStr"/>
    </row>
    <row r="71">
      <c r="A71" s="10" t="inlineStr">
        <is>
          <t>PST-01</t>
        </is>
      </c>
      <c r="B71" s="10" t="inlineStr">
        <is>
          <t>neom_posts</t>
        </is>
      </c>
      <c r="C71" s="10" t="inlineStr">
        <is>
          <t>Posts</t>
        </is>
      </c>
      <c r="D71" s="10" t="inlineStr">
        <is>
          <t>P0</t>
        </is>
      </c>
      <c r="E71" s="10" t="inlineStr">
        <is>
          <t>Crear post texto</t>
        </is>
      </c>
      <c r="F71" s="10" t="inlineStr">
        <is>
          <t>Not Run</t>
        </is>
      </c>
      <c r="G71" s="10" t="n"/>
      <c r="H71" s="10" t="n"/>
      <c r="I71" s="10" t="n"/>
      <c r="J71" s="10" t="n"/>
      <c r="K71" s="10" t="n"/>
      <c r="L71" s="10" t="inlineStr">
        <is>
          <t>Login</t>
        </is>
      </c>
      <c r="M71" s="10" t="inlineStr">
        <is>
          <t>Compose</t>
        </is>
      </c>
      <c r="N71" s="10" t="inlineStr">
        <is>
          <t>Aparece</t>
        </is>
      </c>
      <c r="O71" s="10" t="inlineStr"/>
    </row>
    <row r="72">
      <c r="A72" s="9" t="inlineStr">
        <is>
          <t>PST-02</t>
        </is>
      </c>
      <c r="B72" s="9" t="inlineStr">
        <is>
          <t>neom_posts</t>
        </is>
      </c>
      <c r="C72" s="9" t="inlineStr">
        <is>
          <t>Posts</t>
        </is>
      </c>
      <c r="D72" s="9" t="inlineStr">
        <is>
          <t>P0</t>
        </is>
      </c>
      <c r="E72" s="9" t="inlineStr">
        <is>
          <t>Crear post imagen</t>
        </is>
      </c>
      <c r="F72" s="9" t="inlineStr">
        <is>
          <t>Not Run</t>
        </is>
      </c>
      <c r="G72" s="9" t="n"/>
      <c r="H72" s="9" t="n"/>
      <c r="I72" s="9" t="n"/>
      <c r="J72" s="9" t="n"/>
      <c r="K72" s="9" t="n"/>
      <c r="L72" s="9" t="inlineStr">
        <is>
          <t>Login</t>
        </is>
      </c>
      <c r="M72" s="9" t="inlineStr">
        <is>
          <t>Upload</t>
        </is>
      </c>
      <c r="N72" s="9" t="inlineStr">
        <is>
          <t>Visible</t>
        </is>
      </c>
      <c r="O72" s="9" t="inlineStr"/>
    </row>
    <row r="73">
      <c r="A73" s="10" t="inlineStr">
        <is>
          <t>PST-03</t>
        </is>
      </c>
      <c r="B73" s="10" t="inlineStr">
        <is>
          <t>neom_posts</t>
        </is>
      </c>
      <c r="C73" s="10" t="inlineStr">
        <is>
          <t>Posts</t>
        </is>
      </c>
      <c r="D73" s="10" t="inlineStr">
        <is>
          <t>P1</t>
        </is>
      </c>
      <c r="E73" s="10" t="inlineStr">
        <is>
          <t>Like</t>
        </is>
      </c>
      <c r="F73" s="10" t="inlineStr">
        <is>
          <t>Not Run</t>
        </is>
      </c>
      <c r="G73" s="10" t="n"/>
      <c r="H73" s="10" t="n"/>
      <c r="I73" s="10" t="n"/>
      <c r="J73" s="10" t="n"/>
      <c r="K73" s="10" t="n"/>
      <c r="L73" s="10" t="inlineStr">
        <is>
          <t>Login</t>
        </is>
      </c>
      <c r="M73" s="10" t="inlineStr">
        <is>
          <t>Heart</t>
        </is>
      </c>
      <c r="N73" s="10" t="inlineStr">
        <is>
          <t>+1</t>
        </is>
      </c>
      <c r="O73" s="10" t="inlineStr"/>
    </row>
    <row r="74">
      <c r="A74" s="9" t="inlineStr">
        <is>
          <t>PST-04</t>
        </is>
      </c>
      <c r="B74" s="9" t="inlineStr">
        <is>
          <t>neom_posts</t>
        </is>
      </c>
      <c r="C74" s="9" t="inlineStr">
        <is>
          <t>Posts</t>
        </is>
      </c>
      <c r="D74" s="9" t="inlineStr">
        <is>
          <t>P1</t>
        </is>
      </c>
      <c r="E74" s="9" t="inlineStr">
        <is>
          <t>Comentar</t>
        </is>
      </c>
      <c r="F74" s="9" t="inlineStr">
        <is>
          <t>Not Run</t>
        </is>
      </c>
      <c r="G74" s="9" t="n"/>
      <c r="H74" s="9" t="n"/>
      <c r="I74" s="9" t="n"/>
      <c r="J74" s="9" t="n"/>
      <c r="K74" s="9" t="n"/>
      <c r="L74" s="9" t="inlineStr">
        <is>
          <t>Login</t>
        </is>
      </c>
      <c r="M74" s="9" t="inlineStr">
        <is>
          <t>Comment</t>
        </is>
      </c>
      <c r="N74" s="9" t="inlineStr">
        <is>
          <t>Visible</t>
        </is>
      </c>
      <c r="O74" s="9" t="inlineStr"/>
    </row>
    <row r="75">
      <c r="A75" s="10" t="inlineStr">
        <is>
          <t>PST-05</t>
        </is>
      </c>
      <c r="B75" s="10" t="inlineStr">
        <is>
          <t>neom_posts</t>
        </is>
      </c>
      <c r="C75" s="10" t="inlineStr">
        <is>
          <t>Posts</t>
        </is>
      </c>
      <c r="D75" s="10" t="inlineStr">
        <is>
          <t>P2</t>
        </is>
      </c>
      <c r="E75" s="10" t="inlineStr">
        <is>
          <t>Eliminar</t>
        </is>
      </c>
      <c r="F75" s="10" t="inlineStr">
        <is>
          <t>Not Run</t>
        </is>
      </c>
      <c r="G75" s="10" t="n"/>
      <c r="H75" s="10" t="n"/>
      <c r="I75" s="10" t="n"/>
      <c r="J75" s="10" t="n"/>
      <c r="K75" s="10" t="n"/>
      <c r="L75" s="10" t="inlineStr">
        <is>
          <t>Owner</t>
        </is>
      </c>
      <c r="M75" s="10" t="inlineStr">
        <is>
          <t>Delete</t>
        </is>
      </c>
      <c r="N75" s="10" t="inlineStr">
        <is>
          <t>Removido</t>
        </is>
      </c>
      <c r="O75" s="10" t="inlineStr"/>
    </row>
    <row r="76">
      <c r="A76" s="9" t="inlineStr">
        <is>
          <t>AUD-01</t>
        </is>
      </c>
      <c r="B76" s="9" t="inlineStr">
        <is>
          <t>neom_audio_player</t>
        </is>
      </c>
      <c r="C76" s="9" t="inlineStr">
        <is>
          <t>Audio</t>
        </is>
      </c>
      <c r="D76" s="9" t="inlineStr">
        <is>
          <t>P0</t>
        </is>
      </c>
      <c r="E76" s="9" t="inlineStr">
        <is>
          <t>Player visible</t>
        </is>
      </c>
      <c r="F76" s="9" t="inlineStr">
        <is>
          <t>Not Run</t>
        </is>
      </c>
      <c r="G76" s="9" t="n"/>
      <c r="H76" s="9" t="n"/>
      <c r="I76" s="9" t="n"/>
      <c r="J76" s="9" t="n"/>
      <c r="K76" s="9" t="n"/>
      <c r="L76" s="9" t="inlineStr">
        <is>
          <t>Login</t>
        </is>
      </c>
      <c r="M76" s="9" t="inlineStr">
        <is>
          <t>Play</t>
        </is>
      </c>
      <c r="N76" s="9" t="inlineStr">
        <is>
          <t>Bottom</t>
        </is>
      </c>
      <c r="O76" s="9" t="inlineStr"/>
    </row>
    <row r="77">
      <c r="A77" s="10" t="inlineStr">
        <is>
          <t>AUD-02</t>
        </is>
      </c>
      <c r="B77" s="10" t="inlineStr">
        <is>
          <t>neom_audio_player</t>
        </is>
      </c>
      <c r="C77" s="10" t="inlineStr">
        <is>
          <t>Audio</t>
        </is>
      </c>
      <c r="D77" s="10" t="inlineStr">
        <is>
          <t>P0</t>
        </is>
      </c>
      <c r="E77" s="10" t="inlineStr">
        <is>
          <t>Play/pause</t>
        </is>
      </c>
      <c r="F77" s="10" t="inlineStr">
        <is>
          <t>Not Run</t>
        </is>
      </c>
      <c r="G77" s="10" t="n"/>
      <c r="H77" s="10" t="n"/>
      <c r="I77" s="10" t="n"/>
      <c r="J77" s="10" t="n"/>
      <c r="K77" s="10" t="n"/>
      <c r="L77" s="10" t="inlineStr">
        <is>
          <t>Track</t>
        </is>
      </c>
      <c r="M77" s="10" t="inlineStr">
        <is>
          <t>Toggle</t>
        </is>
      </c>
      <c r="N77" s="10" t="inlineStr">
        <is>
          <t>Funciona</t>
        </is>
      </c>
      <c r="O77" s="10" t="inlineStr"/>
    </row>
    <row r="78">
      <c r="A78" s="9" t="inlineStr">
        <is>
          <t>AUD-03</t>
        </is>
      </c>
      <c r="B78" s="9" t="inlineStr">
        <is>
          <t>neom_audio_player</t>
        </is>
      </c>
      <c r="C78" s="9" t="inlineStr">
        <is>
          <t>Audio</t>
        </is>
      </c>
      <c r="D78" s="9" t="inlineStr">
        <is>
          <t>P1</t>
        </is>
      </c>
      <c r="E78" s="9" t="inlineStr">
        <is>
          <t>Next/prev</t>
        </is>
      </c>
      <c r="F78" s="9" t="inlineStr">
        <is>
          <t>Not Run</t>
        </is>
      </c>
      <c r="G78" s="9" t="n"/>
      <c r="H78" s="9" t="n"/>
      <c r="I78" s="9" t="n"/>
      <c r="J78" s="9" t="n"/>
      <c r="K78" s="9" t="n"/>
      <c r="L78" s="9" t="inlineStr">
        <is>
          <t>Queue</t>
        </is>
      </c>
      <c r="M78" s="9" t="inlineStr">
        <is>
          <t>Next</t>
        </is>
      </c>
      <c r="N78" s="9" t="inlineStr">
        <is>
          <t>Cambia</t>
        </is>
      </c>
      <c r="O78" s="9" t="inlineStr"/>
    </row>
    <row r="79">
      <c r="A79" s="10" t="inlineStr">
        <is>
          <t>AUD-04</t>
        </is>
      </c>
      <c r="B79" s="10" t="inlineStr">
        <is>
          <t>neom_audio_player</t>
        </is>
      </c>
      <c r="C79" s="10" t="inlineStr">
        <is>
          <t>Audio</t>
        </is>
      </c>
      <c r="D79" s="10" t="inlineStr">
        <is>
          <t>P1</t>
        </is>
      </c>
      <c r="E79" s="10" t="inlineStr">
        <is>
          <t>Smart queue</t>
        </is>
      </c>
      <c r="F79" s="10" t="inlineStr">
        <is>
          <t>Not Run</t>
        </is>
      </c>
      <c r="G79" s="10" t="n"/>
      <c r="H79" s="10" t="n"/>
      <c r="I79" s="10" t="n"/>
      <c r="J79" s="10" t="n"/>
      <c r="K79" s="10" t="n"/>
      <c r="L79" s="10" t="inlineStr">
        <is>
          <t>Track end</t>
        </is>
      </c>
      <c r="M79" s="10" t="inlineStr">
        <is>
          <t>Wait</t>
        </is>
      </c>
      <c r="N79" s="10" t="inlineStr">
        <is>
          <t>Recom</t>
        </is>
      </c>
      <c r="O79" s="10" t="inlineStr"/>
    </row>
    <row r="80">
      <c r="A80" s="9" t="inlineStr">
        <is>
          <t>AUD-05</t>
        </is>
      </c>
      <c r="B80" s="9" t="inlineStr">
        <is>
          <t>neom_audio_player</t>
        </is>
      </c>
      <c r="C80" s="9" t="inlineStr">
        <is>
          <t>Audio</t>
        </is>
      </c>
      <c r="D80" s="9" t="inlineStr">
        <is>
          <t>P2</t>
        </is>
      </c>
      <c r="E80" s="9" t="inlineStr">
        <is>
          <t>Sleep timer</t>
        </is>
      </c>
      <c r="F80" s="9" t="inlineStr">
        <is>
          <t>Not Run</t>
        </is>
      </c>
      <c r="G80" s="9" t="n"/>
      <c r="H80" s="9" t="n"/>
      <c r="I80" s="9" t="n"/>
      <c r="J80" s="9" t="n"/>
      <c r="K80" s="9" t="n"/>
      <c r="L80" s="9" t="inlineStr">
        <is>
          <t>Player</t>
        </is>
      </c>
      <c r="M80" s="9" t="inlineStr">
        <is>
          <t>Set</t>
        </is>
      </c>
      <c r="N80" s="9" t="inlineStr">
        <is>
          <t>Detiene</t>
        </is>
      </c>
      <c r="O80" s="9" t="inlineStr"/>
    </row>
    <row r="81">
      <c r="A81" s="10" t="inlineStr">
        <is>
          <t>REL-01</t>
        </is>
      </c>
      <c r="B81" s="10" t="inlineStr">
        <is>
          <t>neom_releases</t>
        </is>
      </c>
      <c r="C81" s="10" t="inlineStr">
        <is>
          <t>Releases</t>
        </is>
      </c>
      <c r="D81" s="10" t="inlineStr">
        <is>
          <t>P0</t>
        </is>
      </c>
      <c r="E81" s="10" t="inlineStr">
        <is>
          <t>Detalle release</t>
        </is>
      </c>
      <c r="F81" s="10" t="inlineStr">
        <is>
          <t>Not Run</t>
        </is>
      </c>
      <c r="G81" s="10" t="n"/>
      <c r="H81" s="10" t="n"/>
      <c r="I81" s="10" t="n"/>
      <c r="J81" s="10" t="n"/>
      <c r="K81" s="10" t="n"/>
      <c r="L81" s="10" t="inlineStr">
        <is>
          <t>Login</t>
        </is>
      </c>
      <c r="M81" s="10" t="inlineStr">
        <is>
          <t>Abrir</t>
        </is>
      </c>
      <c r="N81" s="10" t="inlineStr">
        <is>
          <t>Datos</t>
        </is>
      </c>
      <c r="O81" s="10" t="inlineStr"/>
    </row>
    <row r="82">
      <c r="A82" s="9" t="inlineStr">
        <is>
          <t>REL-02</t>
        </is>
      </c>
      <c r="B82" s="9" t="inlineStr">
        <is>
          <t>neom_releases</t>
        </is>
      </c>
      <c r="C82" s="9" t="inlineStr">
        <is>
          <t>Releases</t>
        </is>
      </c>
      <c r="D82" s="9" t="inlineStr">
        <is>
          <t>P0</t>
        </is>
      </c>
      <c r="E82" s="9" t="inlineStr">
        <is>
          <t>Reproducir track</t>
        </is>
      </c>
      <c r="F82" s="9" t="inlineStr">
        <is>
          <t>Not Run</t>
        </is>
      </c>
      <c r="G82" s="9" t="n"/>
      <c r="H82" s="9" t="n"/>
      <c r="I82" s="9" t="n"/>
      <c r="J82" s="9" t="n"/>
      <c r="K82" s="9" t="n"/>
      <c r="L82" s="9" t="inlineStr">
        <is>
          <t>Release</t>
        </is>
      </c>
      <c r="M82" s="9" t="inlineStr">
        <is>
          <t>Play</t>
        </is>
      </c>
      <c r="N82" s="9" t="inlineStr">
        <is>
          <t>Audio</t>
        </is>
      </c>
      <c r="O82" s="9" t="inlineStr"/>
    </row>
    <row r="83">
      <c r="A83" s="10" t="inlineStr">
        <is>
          <t>REL-03</t>
        </is>
      </c>
      <c r="B83" s="10" t="inlineStr">
        <is>
          <t>neom_releases</t>
        </is>
      </c>
      <c r="C83" s="10" t="inlineStr">
        <is>
          <t>Releases</t>
        </is>
      </c>
      <c r="D83" s="10" t="inlineStr">
        <is>
          <t>P1</t>
        </is>
      </c>
      <c r="E83" s="10" t="inlineStr">
        <is>
          <t>Like</t>
        </is>
      </c>
      <c r="F83" s="10" t="inlineStr">
        <is>
          <t>Not Run</t>
        </is>
      </c>
      <c r="G83" s="10" t="n"/>
      <c r="H83" s="10" t="n"/>
      <c r="I83" s="10" t="n"/>
      <c r="J83" s="10" t="n"/>
      <c r="K83" s="10" t="n"/>
      <c r="L83" s="10" t="inlineStr">
        <is>
          <t>Login</t>
        </is>
      </c>
      <c r="M83" s="10" t="inlineStr">
        <is>
          <t>Heart</t>
        </is>
      </c>
      <c r="N83" s="10" t="inlineStr">
        <is>
          <t>Favs</t>
        </is>
      </c>
      <c r="O83" s="10" t="inlineStr"/>
    </row>
    <row r="84">
      <c r="A84" s="9" t="inlineStr">
        <is>
          <t>MSG-01</t>
        </is>
      </c>
      <c r="B84" s="9" t="inlineStr">
        <is>
          <t>neom_inbox</t>
        </is>
      </c>
      <c r="C84" s="9" t="inlineStr">
        <is>
          <t>Inbox</t>
        </is>
      </c>
      <c r="D84" s="9" t="inlineStr">
        <is>
          <t>P0</t>
        </is>
      </c>
      <c r="E84" s="9" t="inlineStr">
        <is>
          <t>Lista chats</t>
        </is>
      </c>
      <c r="F84" s="9" t="inlineStr">
        <is>
          <t>Not Run</t>
        </is>
      </c>
      <c r="G84" s="9" t="n"/>
      <c r="H84" s="9" t="n"/>
      <c r="I84" s="9" t="n"/>
      <c r="J84" s="9" t="n"/>
      <c r="K84" s="9" t="n"/>
      <c r="L84" s="9" t="inlineStr">
        <is>
          <t>Login</t>
        </is>
      </c>
      <c r="M84" s="9" t="inlineStr">
        <is>
          <t>Inbox</t>
        </is>
      </c>
      <c r="N84" s="9" t="inlineStr">
        <is>
          <t>Carga</t>
        </is>
      </c>
      <c r="O84" s="9" t="inlineStr"/>
    </row>
    <row r="85">
      <c r="A85" s="10" t="inlineStr">
        <is>
          <t>MSG-02</t>
        </is>
      </c>
      <c r="B85" s="10" t="inlineStr">
        <is>
          <t>neom_inbox</t>
        </is>
      </c>
      <c r="C85" s="10" t="inlineStr">
        <is>
          <t>Inbox</t>
        </is>
      </c>
      <c r="D85" s="10" t="inlineStr">
        <is>
          <t>P0</t>
        </is>
      </c>
      <c r="E85" s="10" t="inlineStr">
        <is>
          <t>Enviar texto</t>
        </is>
      </c>
      <c r="F85" s="10" t="inlineStr">
        <is>
          <t>Not Run</t>
        </is>
      </c>
      <c r="G85" s="10" t="n"/>
      <c r="H85" s="10" t="n"/>
      <c r="I85" s="10" t="n"/>
      <c r="J85" s="10" t="n"/>
      <c r="K85" s="10" t="n"/>
      <c r="L85" s="10" t="inlineStr">
        <is>
          <t>Chat</t>
        </is>
      </c>
      <c r="M85" s="10" t="inlineStr">
        <is>
          <t>Send</t>
        </is>
      </c>
      <c r="N85" s="10" t="inlineStr">
        <is>
          <t>Entregado</t>
        </is>
      </c>
      <c r="O85" s="10" t="inlineStr"/>
    </row>
    <row r="86">
      <c r="A86" s="9" t="inlineStr">
        <is>
          <t>MSG-03</t>
        </is>
      </c>
      <c r="B86" s="9" t="inlineStr">
        <is>
          <t>neom_inbox</t>
        </is>
      </c>
      <c r="C86" s="9" t="inlineStr">
        <is>
          <t>Inbox</t>
        </is>
      </c>
      <c r="D86" s="9" t="inlineStr">
        <is>
          <t>P1</t>
        </is>
      </c>
      <c r="E86" s="9" t="inlineStr">
        <is>
          <t>Recibir tiempo real</t>
        </is>
      </c>
      <c r="F86" s="9" t="inlineStr">
        <is>
          <t>Not Run</t>
        </is>
      </c>
      <c r="G86" s="9" t="n"/>
      <c r="H86" s="9" t="n"/>
      <c r="I86" s="9" t="n"/>
      <c r="J86" s="9" t="n"/>
      <c r="K86" s="9" t="n"/>
      <c r="L86" s="9" t="inlineStr">
        <is>
          <t>2 cuentas</t>
        </is>
      </c>
      <c r="M86" s="9" t="inlineStr">
        <is>
          <t>Send</t>
        </is>
      </c>
      <c r="N86" s="9" t="inlineStr">
        <is>
          <t>Llega</t>
        </is>
      </c>
      <c r="O86" s="9" t="inlineStr"/>
    </row>
    <row r="87">
      <c r="A87" s="10" t="inlineStr">
        <is>
          <t>NOT-01</t>
        </is>
      </c>
      <c r="B87" s="10" t="inlineStr">
        <is>
          <t>neom_notifications</t>
        </is>
      </c>
      <c r="C87" s="10" t="inlineStr">
        <is>
          <t>Notif</t>
        </is>
      </c>
      <c r="D87" s="10" t="inlineStr">
        <is>
          <t>P0</t>
        </is>
      </c>
      <c r="E87" s="10" t="inlineStr">
        <is>
          <t>Lista notif</t>
        </is>
      </c>
      <c r="F87" s="10" t="inlineStr">
        <is>
          <t>Not Run</t>
        </is>
      </c>
      <c r="G87" s="10" t="n"/>
      <c r="H87" s="10" t="n"/>
      <c r="I87" s="10" t="n"/>
      <c r="J87" s="10" t="n"/>
      <c r="K87" s="10" t="n"/>
      <c r="L87" s="10" t="inlineStr">
        <is>
          <t>Login</t>
        </is>
      </c>
      <c r="M87" s="10" t="inlineStr">
        <is>
          <t>Drawer</t>
        </is>
      </c>
      <c r="N87" s="10" t="inlineStr">
        <is>
          <t>Carga</t>
        </is>
      </c>
      <c r="O87" s="10" t="inlineStr"/>
    </row>
    <row r="88">
      <c r="A88" s="9" t="inlineStr">
        <is>
          <t>NOT-02</t>
        </is>
      </c>
      <c r="B88" s="9" t="inlineStr">
        <is>
          <t>neom_notifications</t>
        </is>
      </c>
      <c r="C88" s="9" t="inlineStr">
        <is>
          <t>Notif</t>
        </is>
      </c>
      <c r="D88" s="9" t="inlineStr">
        <is>
          <t>P1</t>
        </is>
      </c>
      <c r="E88" s="9" t="inlineStr">
        <is>
          <t>Marcar leídas</t>
        </is>
      </c>
      <c r="F88" s="9" t="inlineStr">
        <is>
          <t>Not Run</t>
        </is>
      </c>
      <c r="G88" s="9" t="n"/>
      <c r="H88" s="9" t="n"/>
      <c r="I88" s="9" t="n"/>
      <c r="J88" s="9" t="n"/>
      <c r="K88" s="9" t="n"/>
      <c r="L88" s="9" t="inlineStr">
        <is>
          <t>Login</t>
        </is>
      </c>
      <c r="M88" s="9" t="inlineStr">
        <is>
          <t>Mark all</t>
        </is>
      </c>
      <c r="N88" s="9" t="inlineStr">
        <is>
          <t>0</t>
        </is>
      </c>
      <c r="O88" s="9" t="inlineStr"/>
    </row>
    <row r="89">
      <c r="A89" s="10" t="inlineStr">
        <is>
          <t>SCH-01</t>
        </is>
      </c>
      <c r="B89" s="10" t="inlineStr">
        <is>
          <t>neom_search</t>
        </is>
      </c>
      <c r="C89" s="10" t="inlineStr">
        <is>
          <t>Search</t>
        </is>
      </c>
      <c r="D89" s="10" t="inlineStr">
        <is>
          <t>P0</t>
        </is>
      </c>
      <c r="E89" s="10" t="inlineStr">
        <is>
          <t>Buscar usuario</t>
        </is>
      </c>
      <c r="F89" s="10" t="inlineStr">
        <is>
          <t>Not Run</t>
        </is>
      </c>
      <c r="G89" s="10" t="n"/>
      <c r="H89" s="10" t="n"/>
      <c r="I89" s="10" t="n"/>
      <c r="J89" s="10" t="n"/>
      <c r="K89" s="10" t="n"/>
      <c r="L89" s="10" t="inlineStr">
        <is>
          <t>Login</t>
        </is>
      </c>
      <c r="M89" s="10" t="inlineStr">
        <is>
          <t>Search</t>
        </is>
      </c>
      <c r="N89" s="10" t="inlineStr">
        <is>
          <t>Resultados</t>
        </is>
      </c>
      <c r="O89" s="10" t="inlineStr"/>
    </row>
    <row r="90">
      <c r="A90" s="9" t="inlineStr">
        <is>
          <t>SCH-02</t>
        </is>
      </c>
      <c r="B90" s="9" t="inlineStr">
        <is>
          <t>neom_search</t>
        </is>
      </c>
      <c r="C90" s="9" t="inlineStr">
        <is>
          <t>Search</t>
        </is>
      </c>
      <c r="D90" s="9" t="inlineStr">
        <is>
          <t>P1</t>
        </is>
      </c>
      <c r="E90" s="9" t="inlineStr">
        <is>
          <t>Buscar release</t>
        </is>
      </c>
      <c r="F90" s="9" t="inlineStr">
        <is>
          <t>Not Run</t>
        </is>
      </c>
      <c r="G90" s="9" t="n"/>
      <c r="H90" s="9" t="n"/>
      <c r="I90" s="9" t="n"/>
      <c r="J90" s="9" t="n"/>
      <c r="K90" s="9" t="n"/>
      <c r="L90" s="9" t="inlineStr">
        <is>
          <t>Login</t>
        </is>
      </c>
      <c r="M90" s="9" t="inlineStr">
        <is>
          <t>Search</t>
        </is>
      </c>
      <c r="N90" s="9" t="inlineStr">
        <is>
          <t>Resultados</t>
        </is>
      </c>
      <c r="O90" s="9" t="inlineStr"/>
    </row>
    <row r="91">
      <c r="A91" s="10" t="inlineStr">
        <is>
          <t>EVT-01</t>
        </is>
      </c>
      <c r="B91" s="10" t="inlineStr">
        <is>
          <t>neom_events</t>
        </is>
      </c>
      <c r="C91" s="10" t="inlineStr">
        <is>
          <t>Events</t>
        </is>
      </c>
      <c r="D91" s="10" t="inlineStr">
        <is>
          <t>P1</t>
        </is>
      </c>
      <c r="E91" s="10" t="inlineStr">
        <is>
          <t>Ver eventos</t>
        </is>
      </c>
      <c r="F91" s="10" t="inlineStr">
        <is>
          <t>Not Run</t>
        </is>
      </c>
      <c r="G91" s="10" t="n"/>
      <c r="H91" s="10" t="n"/>
      <c r="I91" s="10" t="n"/>
      <c r="J91" s="10" t="n"/>
      <c r="K91" s="10" t="n"/>
      <c r="L91" s="10" t="inlineStr">
        <is>
          <t>Login</t>
        </is>
      </c>
      <c r="M91" s="10" t="inlineStr">
        <is>
          <t>Drawer</t>
        </is>
      </c>
      <c r="N91" s="10" t="inlineStr">
        <is>
          <t>Lista</t>
        </is>
      </c>
      <c r="O91" s="10" t="inlineStr"/>
    </row>
    <row r="92">
      <c r="A92" s="9" t="inlineStr">
        <is>
          <t>EVT-02</t>
        </is>
      </c>
      <c r="B92" s="9" t="inlineStr">
        <is>
          <t>neom_events</t>
        </is>
      </c>
      <c r="C92" s="9" t="inlineStr">
        <is>
          <t>Events</t>
        </is>
      </c>
      <c r="D92" s="9" t="inlineStr">
        <is>
          <t>P1</t>
        </is>
      </c>
      <c r="E92" s="9" t="inlineStr">
        <is>
          <t>Detalle evento</t>
        </is>
      </c>
      <c r="F92" s="9" t="inlineStr">
        <is>
          <t>Not Run</t>
        </is>
      </c>
      <c r="G92" s="9" t="n"/>
      <c r="H92" s="9" t="n"/>
      <c r="I92" s="9" t="n"/>
      <c r="J92" s="9" t="n"/>
      <c r="K92" s="9" t="n"/>
      <c r="L92" s="9" t="inlineStr">
        <is>
          <t>Login</t>
        </is>
      </c>
      <c r="M92" s="9" t="inlineStr">
        <is>
          <t>Abrir</t>
        </is>
      </c>
      <c r="N92" s="9" t="inlineStr">
        <is>
          <t>Datos</t>
        </is>
      </c>
      <c r="O92" s="9" t="inlineStr"/>
    </row>
    <row r="93">
      <c r="A93" s="10" t="inlineStr">
        <is>
          <t>EVT-03</t>
        </is>
      </c>
      <c r="B93" s="10" t="inlineStr">
        <is>
          <t>neom_events</t>
        </is>
      </c>
      <c r="C93" s="10" t="inlineStr">
        <is>
          <t>Events</t>
        </is>
      </c>
      <c r="D93" s="10" t="inlineStr">
        <is>
          <t>P2</t>
        </is>
      </c>
      <c r="E93" s="10" t="inlineStr">
        <is>
          <t>RSVP</t>
        </is>
      </c>
      <c r="F93" s="10" t="inlineStr">
        <is>
          <t>Not Run</t>
        </is>
      </c>
      <c r="G93" s="10" t="n"/>
      <c r="H93" s="10" t="n"/>
      <c r="I93" s="10" t="n"/>
      <c r="J93" s="10" t="n"/>
      <c r="K93" s="10" t="n"/>
      <c r="L93" s="10" t="inlineStr">
        <is>
          <t>Login</t>
        </is>
      </c>
      <c r="M93" s="10" t="inlineStr">
        <is>
          <t>Attend</t>
        </is>
      </c>
      <c r="N93" s="10" t="inlineStr">
        <is>
          <t>Estado</t>
        </is>
      </c>
      <c r="O93" s="10" t="inlineStr"/>
    </row>
    <row r="94">
      <c r="A94" s="9" t="inlineStr">
        <is>
          <t>CAL-01</t>
        </is>
      </c>
      <c r="B94" s="9" t="inlineStr">
        <is>
          <t>neom_calendar</t>
        </is>
      </c>
      <c r="C94" s="9" t="inlineStr">
        <is>
          <t>Calendar</t>
        </is>
      </c>
      <c r="D94" s="9" t="inlineStr">
        <is>
          <t>P1</t>
        </is>
      </c>
      <c r="E94" s="9" t="inlineStr">
        <is>
          <t>Ver calendario</t>
        </is>
      </c>
      <c r="F94" s="9" t="inlineStr">
        <is>
          <t>Not Run</t>
        </is>
      </c>
      <c r="G94" s="9" t="n"/>
      <c r="H94" s="9" t="n"/>
      <c r="I94" s="9" t="n"/>
      <c r="J94" s="9" t="n"/>
      <c r="K94" s="9" t="n"/>
      <c r="L94" s="9" t="inlineStr">
        <is>
          <t>Login</t>
        </is>
      </c>
      <c r="M94" s="9" t="inlineStr">
        <is>
          <t>Drawer</t>
        </is>
      </c>
      <c r="N94" s="9" t="inlineStr">
        <is>
          <t>Vista mes</t>
        </is>
      </c>
      <c r="O94" s="9" t="inlineStr"/>
    </row>
    <row r="95">
      <c r="A95" s="10" t="inlineStr">
        <is>
          <t>BKG-01</t>
        </is>
      </c>
      <c r="B95" s="10" t="inlineStr">
        <is>
          <t>neom_booking</t>
        </is>
      </c>
      <c r="C95" s="10" t="inlineStr">
        <is>
          <t>Booking</t>
        </is>
      </c>
      <c r="D95" s="10" t="inlineStr">
        <is>
          <t>P1</t>
        </is>
      </c>
      <c r="E95" s="10" t="inlineStr">
        <is>
          <t>Reservar slot</t>
        </is>
      </c>
      <c r="F95" s="10" t="inlineStr">
        <is>
          <t>Not Run</t>
        </is>
      </c>
      <c r="G95" s="10" t="n"/>
      <c r="H95" s="10" t="n"/>
      <c r="I95" s="10" t="n"/>
      <c r="J95" s="10" t="n"/>
      <c r="K95" s="10" t="n"/>
      <c r="L95" s="10" t="inlineStr">
        <is>
          <t>Servicio</t>
        </is>
      </c>
      <c r="M95" s="10" t="inlineStr">
        <is>
          <t>Book</t>
        </is>
      </c>
      <c r="N95" s="10" t="inlineStr">
        <is>
          <t>Confirma</t>
        </is>
      </c>
      <c r="O95" s="10" t="inlineStr"/>
    </row>
    <row r="96">
      <c r="A96" s="9" t="inlineStr">
        <is>
          <t>SUB-01</t>
        </is>
      </c>
      <c r="B96" s="9" t="inlineStr">
        <is>
          <t>neom_stripe</t>
        </is>
      </c>
      <c r="C96" s="9" t="inlineStr">
        <is>
          <t>Stripe</t>
        </is>
      </c>
      <c r="D96" s="9" t="inlineStr">
        <is>
          <t>P0</t>
        </is>
      </c>
      <c r="E96" s="9" t="inlineStr">
        <is>
          <t>Listar planes</t>
        </is>
      </c>
      <c r="F96" s="9" t="inlineStr">
        <is>
          <t>Not Run</t>
        </is>
      </c>
      <c r="G96" s="9" t="n"/>
      <c r="H96" s="9" t="n"/>
      <c r="I96" s="9" t="n"/>
      <c r="J96" s="9" t="n"/>
      <c r="K96" s="9" t="n"/>
      <c r="L96" s="9" t="inlineStr">
        <is>
          <t>Login</t>
        </is>
      </c>
      <c r="M96" s="9" t="inlineStr">
        <is>
          <t>Plans</t>
        </is>
      </c>
      <c r="N96" s="9" t="inlineStr">
        <is>
          <t>Cards</t>
        </is>
      </c>
      <c r="O96" s="9" t="inlineStr"/>
    </row>
    <row r="97">
      <c r="A97" s="10" t="inlineStr">
        <is>
          <t>SUB-02</t>
        </is>
      </c>
      <c r="B97" s="10" t="inlineStr">
        <is>
          <t>neom_stripe</t>
        </is>
      </c>
      <c r="C97" s="10" t="inlineStr">
        <is>
          <t>Stripe</t>
        </is>
      </c>
      <c r="D97" s="10" t="inlineStr">
        <is>
          <t>P0</t>
        </is>
      </c>
      <c r="E97" s="10" t="inlineStr">
        <is>
          <t>Checkout</t>
        </is>
      </c>
      <c r="F97" s="10" t="inlineStr">
        <is>
          <t>Not Run</t>
        </is>
      </c>
      <c r="G97" s="10" t="n"/>
      <c r="H97" s="10" t="n"/>
      <c r="I97" s="10" t="n"/>
      <c r="J97" s="10" t="n"/>
      <c r="K97" s="10" t="n"/>
      <c r="L97" s="10" t="inlineStr">
        <is>
          <t>Login</t>
        </is>
      </c>
      <c r="M97" s="10" t="inlineStr">
        <is>
          <t>Subscribe</t>
        </is>
      </c>
      <c r="N97" s="10" t="inlineStr">
        <is>
          <t>Stripe</t>
        </is>
      </c>
      <c r="O97" s="10" t="inlineStr"/>
    </row>
    <row r="98">
      <c r="A98" s="9" t="inlineStr">
        <is>
          <t>SUB-03</t>
        </is>
      </c>
      <c r="B98" s="9" t="inlineStr">
        <is>
          <t>neom_stripe</t>
        </is>
      </c>
      <c r="C98" s="9" t="inlineStr">
        <is>
          <t>Stripe</t>
        </is>
      </c>
      <c r="D98" s="9" t="inlineStr">
        <is>
          <t>P0</t>
        </is>
      </c>
      <c r="E98" s="9" t="inlineStr">
        <is>
          <t>Callback OK</t>
        </is>
      </c>
      <c r="F98" s="9" t="inlineStr">
        <is>
          <t>Not Run</t>
        </is>
      </c>
      <c r="G98" s="9" t="n"/>
      <c r="H98" s="9" t="n"/>
      <c r="I98" s="9" t="n"/>
      <c r="J98" s="9" t="n"/>
      <c r="K98" s="9" t="n"/>
      <c r="L98" s="9" t="inlineStr">
        <is>
          <t>Pago</t>
        </is>
      </c>
      <c r="M98" s="9" t="inlineStr">
        <is>
          <t>Return</t>
        </is>
      </c>
      <c r="N98" s="9" t="inlineStr">
        <is>
          <t>Activa</t>
        </is>
      </c>
      <c r="O98" s="9" t="inlineStr"/>
    </row>
    <row r="99">
      <c r="A99" s="10" t="inlineStr">
        <is>
          <t>SUB-04</t>
        </is>
      </c>
      <c r="B99" s="10" t="inlineStr">
        <is>
          <t>neom_stripe</t>
        </is>
      </c>
      <c r="C99" s="10" t="inlineStr">
        <is>
          <t>Stripe</t>
        </is>
      </c>
      <c r="D99" s="10" t="inlineStr">
        <is>
          <t>P0</t>
        </is>
      </c>
      <c r="E99" s="10" t="inlineStr">
        <is>
          <t>Callback fail</t>
        </is>
      </c>
      <c r="F99" s="10" t="inlineStr">
        <is>
          <t>Not Run</t>
        </is>
      </c>
      <c r="G99" s="10" t="n"/>
      <c r="H99" s="10" t="n"/>
      <c r="I99" s="10" t="n"/>
      <c r="J99" s="10" t="n"/>
      <c r="K99" s="10" t="n"/>
      <c r="L99" s="10" t="inlineStr">
        <is>
          <t>Card fail</t>
        </is>
      </c>
      <c r="M99" s="10" t="inlineStr">
        <is>
          <t>Return</t>
        </is>
      </c>
      <c r="N99" s="10" t="inlineStr">
        <is>
          <t>Error</t>
        </is>
      </c>
      <c r="O99" s="10" t="inlineStr"/>
    </row>
    <row r="100">
      <c r="A100" s="9" t="inlineStr">
        <is>
          <t>SUB-05</t>
        </is>
      </c>
      <c r="B100" s="9" t="inlineStr">
        <is>
          <t>neom_stripe</t>
        </is>
      </c>
      <c r="C100" s="9" t="inlineStr">
        <is>
          <t>Stripe</t>
        </is>
      </c>
      <c r="D100" s="9" t="inlineStr">
        <is>
          <t>P1</t>
        </is>
      </c>
      <c r="E100" s="9" t="inlineStr">
        <is>
          <t>Cancelar</t>
        </is>
      </c>
      <c r="F100" s="9" t="inlineStr">
        <is>
          <t>Not Run</t>
        </is>
      </c>
      <c r="G100" s="9" t="n"/>
      <c r="H100" s="9" t="n"/>
      <c r="I100" s="9" t="n"/>
      <c r="J100" s="9" t="n"/>
      <c r="K100" s="9" t="n"/>
      <c r="L100" s="9" t="inlineStr">
        <is>
          <t>Activa</t>
        </is>
      </c>
      <c r="M100" s="9" t="inlineStr">
        <is>
          <t>Cancel</t>
        </is>
      </c>
      <c r="N100" s="9" t="inlineStr">
        <is>
          <t>Cancelada</t>
        </is>
      </c>
      <c r="O100" s="9" t="inlineStr"/>
    </row>
    <row r="101">
      <c r="A101" s="10" t="inlineStr">
        <is>
          <t>SUB-06</t>
        </is>
      </c>
      <c r="B101" s="10" t="inlineStr">
        <is>
          <t>neom_stripe</t>
        </is>
      </c>
      <c r="C101" s="10" t="inlineStr">
        <is>
          <t>Stripe</t>
        </is>
      </c>
      <c r="D101" s="10" t="inlineStr">
        <is>
          <t>P1</t>
        </is>
      </c>
      <c r="E101" s="10" t="inlineStr">
        <is>
          <t>Badge tier</t>
        </is>
      </c>
      <c r="F101" s="10" t="inlineStr">
        <is>
          <t>Not Run</t>
        </is>
      </c>
      <c r="G101" s="10" t="n"/>
      <c r="H101" s="10" t="n"/>
      <c r="I101" s="10" t="n"/>
      <c r="J101" s="10" t="n"/>
      <c r="K101" s="10" t="n"/>
      <c r="L101" s="10" t="inlineStr">
        <is>
          <t>Activa</t>
        </is>
      </c>
      <c r="M101" s="10" t="inlineStr">
        <is>
          <t>Profile</t>
        </is>
      </c>
      <c r="N101" s="10" t="inlineStr">
        <is>
          <t>Visible</t>
        </is>
      </c>
      <c r="O101" s="10" t="inlineStr"/>
    </row>
    <row r="102">
      <c r="A102" s="9" t="inlineStr">
        <is>
          <t>WAL-01</t>
        </is>
      </c>
      <c r="B102" s="9" t="inlineStr">
        <is>
          <t>neom_bank</t>
        </is>
      </c>
      <c r="C102" s="9" t="inlineStr">
        <is>
          <t>Wallet</t>
        </is>
      </c>
      <c r="D102" s="9" t="inlineStr">
        <is>
          <t>P1</t>
        </is>
      </c>
      <c r="E102" s="9" t="inlineStr">
        <is>
          <t>Saldo</t>
        </is>
      </c>
      <c r="F102" s="9" t="inlineStr">
        <is>
          <t>Not Run</t>
        </is>
      </c>
      <c r="G102" s="9" t="n"/>
      <c r="H102" s="9" t="n"/>
      <c r="I102" s="9" t="n"/>
      <c r="J102" s="9" t="n"/>
      <c r="K102" s="9" t="n"/>
      <c r="L102" s="9" t="inlineStr">
        <is>
          <t>Login</t>
        </is>
      </c>
      <c r="M102" s="9" t="inlineStr">
        <is>
          <t>Wallet</t>
        </is>
      </c>
      <c r="N102" s="9" t="inlineStr">
        <is>
          <t>Correcto</t>
        </is>
      </c>
      <c r="O102" s="9" t="inlineStr"/>
    </row>
    <row r="103">
      <c r="A103" s="10" t="inlineStr">
        <is>
          <t>WAL-02</t>
        </is>
      </c>
      <c r="B103" s="10" t="inlineStr">
        <is>
          <t>neom_bank</t>
        </is>
      </c>
      <c r="C103" s="10" t="inlineStr">
        <is>
          <t>Wallet</t>
        </is>
      </c>
      <c r="D103" s="10" t="inlineStr">
        <is>
          <t>P2</t>
        </is>
      </c>
      <c r="E103" s="10" t="inlineStr">
        <is>
          <t>Comprar coins</t>
        </is>
      </c>
      <c r="F103" s="10" t="inlineStr">
        <is>
          <t>Not Run</t>
        </is>
      </c>
      <c r="G103" s="10" t="n"/>
      <c r="H103" s="10" t="n"/>
      <c r="I103" s="10" t="n"/>
      <c r="J103" s="10" t="n"/>
      <c r="K103" s="10" t="n"/>
      <c r="L103" s="10" t="inlineStr">
        <is>
          <t>Wallet</t>
        </is>
      </c>
      <c r="M103" s="10" t="inlineStr">
        <is>
          <t>Buy</t>
        </is>
      </c>
      <c r="N103" s="10" t="inlineStr">
        <is>
          <t>Sube</t>
        </is>
      </c>
      <c r="O103" s="10" t="inlineStr"/>
    </row>
    <row r="104">
      <c r="A104" s="9" t="inlineStr">
        <is>
          <t>ERP-01</t>
        </is>
      </c>
      <c r="B104" s="9" t="inlineStr">
        <is>
          <t>neom_erp</t>
        </is>
      </c>
      <c r="C104" s="9" t="inlineStr">
        <is>
          <t>ERP</t>
        </is>
      </c>
      <c r="D104" s="9" t="inlineStr">
        <is>
          <t>P2</t>
        </is>
      </c>
      <c r="E104" s="9" t="inlineStr">
        <is>
          <t>Acceso ERP</t>
        </is>
      </c>
      <c r="F104" s="9" t="inlineStr">
        <is>
          <t>Not Run</t>
        </is>
      </c>
      <c r="G104" s="9" t="n"/>
      <c r="H104" s="9" t="n"/>
      <c r="I104" s="9" t="n"/>
      <c r="J104" s="9" t="n"/>
      <c r="K104" s="9" t="n"/>
      <c r="L104" s="9" t="inlineStr">
        <is>
          <t>Admin</t>
        </is>
      </c>
      <c r="M104" s="9" t="inlineStr">
        <is>
          <t>ERP</t>
        </is>
      </c>
      <c r="N104" s="9" t="inlineStr">
        <is>
          <t>Dashboard</t>
        </is>
      </c>
      <c r="O104" s="9" t="inlineStr"/>
    </row>
    <row r="105">
      <c r="A105" s="10" t="inlineStr">
        <is>
          <t>ADM-01</t>
        </is>
      </c>
      <c r="B105" s="10" t="inlineStr">
        <is>
          <t>neom_admin</t>
        </is>
      </c>
      <c r="C105" s="10" t="inlineStr">
        <is>
          <t>Admin</t>
        </is>
      </c>
      <c r="D105" s="10" t="inlineStr">
        <is>
          <t>P1</t>
        </is>
      </c>
      <c r="E105" s="10" t="inlineStr">
        <is>
          <t>Acceso admin</t>
        </is>
      </c>
      <c r="F105" s="10" t="inlineStr">
        <is>
          <t>Not Run</t>
        </is>
      </c>
      <c r="G105" s="10" t="n"/>
      <c r="H105" s="10" t="n"/>
      <c r="I105" s="10" t="n"/>
      <c r="J105" s="10" t="n"/>
      <c r="K105" s="10" t="n"/>
      <c r="L105" s="10" t="inlineStr">
        <is>
          <t>Admin</t>
        </is>
      </c>
      <c r="M105" s="10" t="inlineStr">
        <is>
          <t>Drawer</t>
        </is>
      </c>
      <c r="N105" s="10" t="inlineStr">
        <is>
          <t>Dashboard</t>
        </is>
      </c>
      <c r="O105" s="10" t="inlineStr"/>
    </row>
    <row r="106">
      <c r="A106" s="9" t="inlineStr">
        <is>
          <t>ADM-02</t>
        </is>
      </c>
      <c r="B106" s="9" t="inlineStr">
        <is>
          <t>neom_admin</t>
        </is>
      </c>
      <c r="C106" s="9" t="inlineStr">
        <is>
          <t>Admin</t>
        </is>
      </c>
      <c r="D106" s="9" t="inlineStr">
        <is>
          <t>P2</t>
        </is>
      </c>
      <c r="E106" s="9" t="inlineStr">
        <is>
          <t>QA Tracker</t>
        </is>
      </c>
      <c r="F106" s="9" t="inlineStr">
        <is>
          <t>Not Run</t>
        </is>
      </c>
      <c r="G106" s="9" t="n"/>
      <c r="H106" s="9" t="n"/>
      <c r="I106" s="9" t="n"/>
      <c r="J106" s="9" t="n"/>
      <c r="K106" s="9" t="n"/>
      <c r="L106" s="9" t="inlineStr">
        <is>
          <t>Admin</t>
        </is>
      </c>
      <c r="M106" s="9" t="inlineStr">
        <is>
          <t>Open QA</t>
        </is>
      </c>
      <c r="N106" s="9" t="inlineStr">
        <is>
          <t>Carga (via neom_qa_tracker)</t>
        </is>
      </c>
      <c r="O106" s="9" t="inlineStr"/>
    </row>
    <row r="107">
      <c r="A107" s="10" t="inlineStr">
        <is>
          <t>LRN-01</t>
        </is>
      </c>
      <c r="B107" s="10" t="inlineStr">
        <is>
          <t>neom_learning</t>
        </is>
      </c>
      <c r="C107" s="10" t="inlineStr">
        <is>
          <t>Learning</t>
        </is>
      </c>
      <c r="D107" s="10" t="inlineStr">
        <is>
          <t>P1</t>
        </is>
      </c>
      <c r="E107" s="10" t="inlineStr">
        <is>
          <t>Tree nodos</t>
        </is>
      </c>
      <c r="F107" s="10" t="inlineStr">
        <is>
          <t>Not Run</t>
        </is>
      </c>
      <c r="G107" s="10" t="n"/>
      <c r="H107" s="10" t="n"/>
      <c r="I107" s="10" t="n"/>
      <c r="J107" s="10" t="n"/>
      <c r="K107" s="10" t="n"/>
      <c r="L107" s="10" t="inlineStr">
        <is>
          <t>Login</t>
        </is>
      </c>
      <c r="M107" s="10" t="inlineStr">
        <is>
          <t>/learning</t>
        </is>
      </c>
      <c r="N107" s="10" t="inlineStr">
        <is>
          <t>Visible</t>
        </is>
      </c>
      <c r="O107" s="10" t="inlineStr"/>
    </row>
    <row r="108">
      <c r="A108" s="9" t="inlineStr">
        <is>
          <t>LRN-02</t>
        </is>
      </c>
      <c r="B108" s="9" t="inlineStr">
        <is>
          <t>neom_learning</t>
        </is>
      </c>
      <c r="C108" s="9" t="inlineStr">
        <is>
          <t>Learning</t>
        </is>
      </c>
      <c r="D108" s="9" t="inlineStr">
        <is>
          <t>P1</t>
        </is>
      </c>
      <c r="E108" s="9" t="inlineStr">
        <is>
          <t>Completar quiz</t>
        </is>
      </c>
      <c r="F108" s="9" t="inlineStr">
        <is>
          <t>Not Run</t>
        </is>
      </c>
      <c r="G108" s="9" t="n"/>
      <c r="H108" s="9" t="n"/>
      <c r="I108" s="9" t="n"/>
      <c r="J108" s="9" t="n"/>
      <c r="K108" s="9" t="n"/>
      <c r="L108" s="9" t="inlineStr">
        <is>
          <t>Tree</t>
        </is>
      </c>
      <c r="M108" s="9" t="inlineStr">
        <is>
          <t>Quiz</t>
        </is>
      </c>
      <c r="N108" s="9" t="inlineStr">
        <is>
          <t>XP+</t>
        </is>
      </c>
      <c r="O108" s="9" t="inlineStr"/>
    </row>
    <row r="109">
      <c r="A109" s="10" t="inlineStr">
        <is>
          <t>LRN-03</t>
        </is>
      </c>
      <c r="B109" s="10" t="inlineStr">
        <is>
          <t>neom_learning</t>
        </is>
      </c>
      <c r="C109" s="10" t="inlineStr">
        <is>
          <t>Learning</t>
        </is>
      </c>
      <c r="D109" s="10" t="inlineStr">
        <is>
          <t>P2</t>
        </is>
      </c>
      <c r="E109" s="10" t="inlineStr">
        <is>
          <t>Hearts</t>
        </is>
      </c>
      <c r="F109" s="10" t="inlineStr">
        <is>
          <t>Not Run</t>
        </is>
      </c>
      <c r="G109" s="10" t="n"/>
      <c r="H109" s="10" t="n"/>
      <c r="I109" s="10" t="n"/>
      <c r="J109" s="10" t="n"/>
      <c r="K109" s="10" t="n"/>
      <c r="L109" s="10" t="inlineStr">
        <is>
          <t>5</t>
        </is>
      </c>
      <c r="M109" s="10" t="inlineStr">
        <is>
          <t>Fail 5</t>
        </is>
      </c>
      <c r="N109" s="10" t="inlineStr">
        <is>
          <t>Bloquea</t>
        </is>
      </c>
      <c r="O109" s="10" t="inlineStr"/>
    </row>
    <row r="110">
      <c r="A110" s="9" t="inlineStr">
        <is>
          <t>BOK-01</t>
        </is>
      </c>
      <c r="B110" s="9" t="inlineStr">
        <is>
          <t>neom_books</t>
        </is>
      </c>
      <c r="C110" s="9" t="inlineStr">
        <is>
          <t>Books</t>
        </is>
      </c>
      <c r="D110" s="9" t="inlineStr">
        <is>
          <t>P2</t>
        </is>
      </c>
      <c r="E110" s="9" t="inlineStr">
        <is>
          <t>Catálogo</t>
        </is>
      </c>
      <c r="F110" s="9" t="inlineStr">
        <is>
          <t>Not Run</t>
        </is>
      </c>
      <c r="G110" s="9" t="n"/>
      <c r="H110" s="9" t="n"/>
      <c r="I110" s="9" t="n"/>
      <c r="J110" s="9" t="n"/>
      <c r="K110" s="9" t="n"/>
      <c r="L110" s="9" t="inlineStr">
        <is>
          <t>Login</t>
        </is>
      </c>
      <c r="M110" s="9" t="inlineStr">
        <is>
          <t>/books</t>
        </is>
      </c>
      <c r="N110" s="9" t="inlineStr">
        <is>
          <t>Lista</t>
        </is>
      </c>
      <c r="O110" s="9" t="inlineStr"/>
    </row>
    <row r="111">
      <c r="A111" s="10" t="inlineStr">
        <is>
          <t>BOK-02</t>
        </is>
      </c>
      <c r="B111" s="10" t="inlineStr">
        <is>
          <t>neom_books</t>
        </is>
      </c>
      <c r="C111" s="10" t="inlineStr">
        <is>
          <t>Books</t>
        </is>
      </c>
      <c r="D111" s="10" t="inlineStr">
        <is>
          <t>P2</t>
        </is>
      </c>
      <c r="E111" s="10" t="inlineStr">
        <is>
          <t>Leer capítulo</t>
        </is>
      </c>
      <c r="F111" s="10" t="inlineStr">
        <is>
          <t>Not Run</t>
        </is>
      </c>
      <c r="G111" s="10" t="n"/>
      <c r="H111" s="10" t="n"/>
      <c r="I111" s="10" t="n"/>
      <c r="J111" s="10" t="n"/>
      <c r="K111" s="10" t="n"/>
      <c r="L111" s="10" t="inlineStr">
        <is>
          <t>Book</t>
        </is>
      </c>
      <c r="M111" s="10" t="inlineStr">
        <is>
          <t>Open</t>
        </is>
      </c>
      <c r="N111" s="10" t="inlineStr">
        <is>
          <t>Texto</t>
        </is>
      </c>
      <c r="O111" s="10" t="inlineStr"/>
    </row>
    <row r="112">
      <c r="A112" s="9" t="inlineStr">
        <is>
          <t>EMB-01</t>
        </is>
      </c>
      <c r="B112" s="9" t="inlineStr">
        <is>
          <t>neom_ia</t>
        </is>
      </c>
      <c r="C112" s="9" t="inlineStr">
        <is>
          <t>Embed</t>
        </is>
      </c>
      <c r="D112" s="9" t="inlineStr">
        <is>
          <t>P1</t>
        </is>
      </c>
      <c r="E112" s="9" t="inlineStr">
        <is>
          <t>Bubble visible</t>
        </is>
      </c>
      <c r="F112" s="9" t="inlineStr">
        <is>
          <t>Not Run</t>
        </is>
      </c>
      <c r="G112" s="9" t="n"/>
      <c r="H112" s="9" t="n"/>
      <c r="I112" s="9" t="n"/>
      <c r="J112" s="9" t="n"/>
      <c r="K112" s="9" t="n"/>
      <c r="L112" s="9" t="inlineStr">
        <is>
          <t>Login</t>
        </is>
      </c>
      <c r="M112" s="9" t="inlineStr">
        <is>
          <t>Landing</t>
        </is>
      </c>
      <c r="N112" s="9" t="inlineStr">
        <is>
          <t>FAB</t>
        </is>
      </c>
      <c r="O112" s="9" t="inlineStr"/>
    </row>
    <row r="113">
      <c r="A113" s="10" t="inlineStr">
        <is>
          <t>EMB-02</t>
        </is>
      </c>
      <c r="B113" s="10" t="inlineStr">
        <is>
          <t>neom_ia</t>
        </is>
      </c>
      <c r="C113" s="10" t="inlineStr">
        <is>
          <t>Embed</t>
        </is>
      </c>
      <c r="D113" s="10" t="inlineStr">
        <is>
          <t>P1</t>
        </is>
      </c>
      <c r="E113" s="10" t="inlineStr">
        <is>
          <t>Abrir chat</t>
        </is>
      </c>
      <c r="F113" s="10" t="inlineStr">
        <is>
          <t>Not Run</t>
        </is>
      </c>
      <c r="G113" s="10" t="n"/>
      <c r="H113" s="10" t="n"/>
      <c r="I113" s="10" t="n"/>
      <c r="J113" s="10" t="n"/>
      <c r="K113" s="10" t="n"/>
      <c r="L113" s="10" t="inlineStr">
        <is>
          <t>Bubble</t>
        </is>
      </c>
      <c r="M113" s="10" t="inlineStr">
        <is>
          <t>Click</t>
        </is>
      </c>
      <c r="N113" s="10" t="inlineStr">
        <is>
          <t>Panel</t>
        </is>
      </c>
      <c r="O113" s="10" t="inlineStr"/>
    </row>
    <row r="114">
      <c r="A114" s="9" t="inlineStr">
        <is>
          <t>EMB-03</t>
        </is>
      </c>
      <c r="B114" s="9" t="inlineStr">
        <is>
          <t>neom_ia</t>
        </is>
      </c>
      <c r="C114" s="9" t="inlineStr">
        <is>
          <t>Embed</t>
        </is>
      </c>
      <c r="D114" s="9" t="inlineStr">
        <is>
          <t>P1</t>
        </is>
      </c>
      <c r="E114" s="9" t="inlineStr">
        <is>
          <t>Enviar prompt</t>
        </is>
      </c>
      <c r="F114" s="9" t="inlineStr">
        <is>
          <t>Not Run</t>
        </is>
      </c>
      <c r="G114" s="9" t="n"/>
      <c r="H114" s="9" t="n"/>
      <c r="I114" s="9" t="n"/>
      <c r="J114" s="9" t="n"/>
      <c r="K114" s="9" t="n"/>
      <c r="L114" s="9" t="inlineStr">
        <is>
          <t>Chat</t>
        </is>
      </c>
      <c r="M114" s="9" t="inlineStr">
        <is>
          <t>Send</t>
        </is>
      </c>
      <c r="N114" s="9" t="inlineStr">
        <is>
          <t>Respuesta</t>
        </is>
      </c>
      <c r="O114" s="9" t="inlineStr"/>
    </row>
    <row r="115">
      <c r="A115" s="10" t="inlineStr">
        <is>
          <t>EMB-04</t>
        </is>
      </c>
      <c r="B115" s="10" t="inlineStr">
        <is>
          <t>neom_ia</t>
        </is>
      </c>
      <c r="C115" s="10" t="inlineStr">
        <is>
          <t>Embed</t>
        </is>
      </c>
      <c r="D115" s="10" t="inlineStr">
        <is>
          <t>P1</t>
        </is>
      </c>
      <c r="E115" s="10" t="inlineStr">
        <is>
          <t>Deeplink chips</t>
        </is>
      </c>
      <c r="F115" s="10" t="inlineStr">
        <is>
          <t>Not Run</t>
        </is>
      </c>
      <c r="G115" s="10" t="n"/>
      <c r="H115" s="10" t="n"/>
      <c r="I115" s="10" t="n"/>
      <c r="J115" s="10" t="n"/>
      <c r="K115" s="10" t="n"/>
      <c r="L115" s="10" t="inlineStr">
        <is>
          <t>Respuesta</t>
        </is>
      </c>
      <c r="M115" s="10" t="inlineStr">
        <is>
          <t>Tap</t>
        </is>
      </c>
      <c r="N115" s="10" t="inlineStr">
        <is>
          <t>Sint.toNamed</t>
        </is>
      </c>
      <c r="O115" s="10" t="inlineStr"/>
    </row>
    <row r="116">
      <c r="A116" s="9" t="inlineStr">
        <is>
          <t>CAM-01</t>
        </is>
      </c>
      <c r="B116" s="9" t="inlineStr">
        <is>
          <t>neom_camera</t>
        </is>
      </c>
      <c r="C116" s="9" t="inlineStr">
        <is>
          <t>Camera</t>
        </is>
      </c>
      <c r="D116" s="9" t="inlineStr">
        <is>
          <t>P1</t>
        </is>
      </c>
      <c r="E116" s="9" t="inlineStr">
        <is>
          <t>Foto</t>
        </is>
      </c>
      <c r="F116" s="9" t="inlineStr">
        <is>
          <t>Not Run</t>
        </is>
      </c>
      <c r="G116" s="9" t="n"/>
      <c r="H116" s="9" t="n"/>
      <c r="I116" s="9" t="n"/>
      <c r="J116" s="9" t="n"/>
      <c r="K116" s="9" t="n"/>
      <c r="L116" s="9" t="inlineStr">
        <is>
          <t>Mobile</t>
        </is>
      </c>
      <c r="M116" s="9" t="inlineStr">
        <is>
          <t>Camera</t>
        </is>
      </c>
      <c r="N116" s="9" t="inlineStr">
        <is>
          <t>Imagen</t>
        </is>
      </c>
      <c r="O116" s="9" t="inlineStr">
        <is>
          <t>🚫 Web-excluded</t>
        </is>
      </c>
    </row>
    <row r="117">
      <c r="A117" s="10" t="inlineStr">
        <is>
          <t>CAM-02</t>
        </is>
      </c>
      <c r="B117" s="10" t="inlineStr">
        <is>
          <t>neom_image_editor</t>
        </is>
      </c>
      <c r="C117" s="10" t="inlineStr">
        <is>
          <t>ImgEdit</t>
        </is>
      </c>
      <c r="D117" s="10" t="inlineStr">
        <is>
          <t>P2</t>
        </is>
      </c>
      <c r="E117" s="10" t="inlineStr">
        <is>
          <t>Crop</t>
        </is>
      </c>
      <c r="F117" s="10" t="inlineStr">
        <is>
          <t>Not Run</t>
        </is>
      </c>
      <c r="G117" s="10" t="n"/>
      <c r="H117" s="10" t="n"/>
      <c r="I117" s="10" t="n"/>
      <c r="J117" s="10" t="n"/>
      <c r="K117" s="10" t="n"/>
      <c r="L117" s="10" t="inlineStr">
        <is>
          <t>Imagen</t>
        </is>
      </c>
      <c r="M117" s="10" t="inlineStr">
        <is>
          <t>Crop</t>
        </is>
      </c>
      <c r="N117" s="10" t="inlineStr">
        <is>
          <t>Editada</t>
        </is>
      </c>
      <c r="O117" s="10" t="inlineStr"/>
    </row>
    <row r="118">
      <c r="A118" s="9" t="inlineStr">
        <is>
          <t>CAM-03</t>
        </is>
      </c>
      <c r="B118" s="9" t="inlineStr">
        <is>
          <t>neom_media_upload</t>
        </is>
      </c>
      <c r="C118" s="9" t="inlineStr">
        <is>
          <t>Upload</t>
        </is>
      </c>
      <c r="D118" s="9" t="inlineStr">
        <is>
          <t>P1</t>
        </is>
      </c>
      <c r="E118" s="9" t="inlineStr">
        <is>
          <t>Upload progresivo</t>
        </is>
      </c>
      <c r="F118" s="9" t="inlineStr">
        <is>
          <t>Not Run</t>
        </is>
      </c>
      <c r="G118" s="9" t="n"/>
      <c r="H118" s="9" t="n"/>
      <c r="I118" s="9" t="n"/>
      <c r="J118" s="9" t="n"/>
      <c r="K118" s="9" t="n"/>
      <c r="L118" s="9" t="inlineStr">
        <is>
          <t>Archivo</t>
        </is>
      </c>
      <c r="M118" s="9" t="inlineStr">
        <is>
          <t>Upload</t>
        </is>
      </c>
      <c r="N118" s="9" t="inlineStr">
        <is>
          <t>Progress</t>
        </is>
      </c>
      <c r="O118" s="9" t="inlineStr"/>
    </row>
    <row r="119">
      <c r="A119" s="10" t="inlineStr">
        <is>
          <t>TTS-01</t>
        </is>
      </c>
      <c r="B119" s="10" t="inlineStr">
        <is>
          <t>neom_tts</t>
        </is>
      </c>
      <c r="C119" s="10" t="inlineStr">
        <is>
          <t>TTS</t>
        </is>
      </c>
      <c r="D119" s="10" t="inlineStr">
        <is>
          <t>P2</t>
        </is>
      </c>
      <c r="E119" s="10" t="inlineStr">
        <is>
          <t>Default flutter_tts</t>
        </is>
      </c>
      <c r="F119" s="10" t="inlineStr">
        <is>
          <t>Not Run</t>
        </is>
      </c>
      <c r="G119" s="10" t="n"/>
      <c r="H119" s="10" t="n"/>
      <c r="I119" s="10" t="n"/>
      <c r="J119" s="10" t="n"/>
      <c r="K119" s="10" t="n"/>
      <c r="L119" s="10" t="inlineStr">
        <is>
          <t>Login</t>
        </is>
      </c>
      <c r="M119" s="10" t="inlineStr">
        <is>
          <t>Speak</t>
        </is>
      </c>
      <c r="N119" s="10" t="inlineStr">
        <is>
          <t>Audio</t>
        </is>
      </c>
      <c r="O119" s="10" t="inlineStr"/>
    </row>
    <row r="120">
      <c r="A120" s="9" t="inlineStr">
        <is>
          <t>TTS-02</t>
        </is>
      </c>
      <c r="B120" s="9" t="inlineStr">
        <is>
          <t>neom_tts</t>
        </is>
      </c>
      <c r="C120" s="9" t="inlineStr">
        <is>
          <t>TTS</t>
        </is>
      </c>
      <c r="D120" s="9" t="inlineStr">
        <is>
          <t>P2</t>
        </is>
      </c>
      <c r="E120" s="9" t="inlineStr">
        <is>
          <t>Switch provider</t>
        </is>
      </c>
      <c r="F120" s="9" t="inlineStr">
        <is>
          <t>Not Run</t>
        </is>
      </c>
      <c r="G120" s="9" t="n"/>
      <c r="H120" s="9" t="n"/>
      <c r="I120" s="9" t="n"/>
      <c r="J120" s="9" t="n"/>
      <c r="K120" s="9" t="n"/>
      <c r="L120" s="9" t="inlineStr">
        <is>
          <t>API key</t>
        </is>
      </c>
      <c r="M120" s="9" t="inlineStr">
        <is>
          <t>Settings</t>
        </is>
      </c>
      <c r="N120" s="9" t="inlineStr">
        <is>
          <t>Cambio</t>
        </is>
      </c>
      <c r="O120" s="9" t="inlineStr"/>
    </row>
    <row r="121">
      <c r="A121" s="10" t="inlineStr">
        <is>
          <t>CLD-01</t>
        </is>
      </c>
      <c r="B121" s="10" t="inlineStr">
        <is>
          <t>neom_cloud</t>
        </is>
      </c>
      <c r="C121" s="10" t="inlineStr">
        <is>
          <t>Cloud</t>
        </is>
      </c>
      <c r="D121" s="10" t="inlineStr">
        <is>
          <t>P2</t>
        </is>
      </c>
      <c r="E121" s="10" t="inlineStr">
        <is>
          <t>Auth Drive</t>
        </is>
      </c>
      <c r="F121" s="10" t="inlineStr">
        <is>
          <t>Not Run</t>
        </is>
      </c>
      <c r="G121" s="10" t="n"/>
      <c r="H121" s="10" t="n"/>
      <c r="I121" s="10" t="n"/>
      <c r="J121" s="10" t="n"/>
      <c r="K121" s="10" t="n"/>
      <c r="L121" s="10" t="inlineStr">
        <is>
          <t>Google</t>
        </is>
      </c>
      <c r="M121" s="10" t="inlineStr">
        <is>
          <t>Authorize</t>
        </is>
      </c>
      <c r="N121" s="10" t="inlineStr">
        <is>
          <t>Token</t>
        </is>
      </c>
      <c r="O121" s="10" t="inlineStr"/>
    </row>
    <row r="122">
      <c r="A122" s="9" t="inlineStr">
        <is>
          <t>SET-01</t>
        </is>
      </c>
      <c r="B122" s="9" t="inlineStr">
        <is>
          <t>neom_settings</t>
        </is>
      </c>
      <c r="C122" s="9" t="inlineStr">
        <is>
          <t>Settings</t>
        </is>
      </c>
      <c r="D122" s="9" t="inlineStr">
        <is>
          <t>P1</t>
        </is>
      </c>
      <c r="E122" s="9" t="inlineStr">
        <is>
          <t>Idioma</t>
        </is>
      </c>
      <c r="F122" s="9" t="inlineStr">
        <is>
          <t>Not Run</t>
        </is>
      </c>
      <c r="G122" s="9" t="n"/>
      <c r="H122" s="9" t="n"/>
      <c r="I122" s="9" t="n"/>
      <c r="J122" s="9" t="n"/>
      <c r="K122" s="9" t="n"/>
      <c r="L122" s="9" t="inlineStr">
        <is>
          <t>Login</t>
        </is>
      </c>
      <c r="M122" s="9" t="inlineStr">
        <is>
          <t>Settings &gt; lang</t>
        </is>
      </c>
      <c r="N122" s="9" t="inlineStr">
        <is>
          <t>Traducida</t>
        </is>
      </c>
      <c r="O122" s="9" t="inlineStr"/>
    </row>
    <row r="123">
      <c r="A123" s="10" t="inlineStr">
        <is>
          <t>SET-02</t>
        </is>
      </c>
      <c r="B123" s="10" t="inlineStr">
        <is>
          <t>neom_settings</t>
        </is>
      </c>
      <c r="C123" s="10" t="inlineStr">
        <is>
          <t>Settings</t>
        </is>
      </c>
      <c r="D123" s="10" t="inlineStr">
        <is>
          <t>P1</t>
        </is>
      </c>
      <c r="E123" s="10" t="inlineStr">
        <is>
          <t>Theme</t>
        </is>
      </c>
      <c r="F123" s="10" t="inlineStr">
        <is>
          <t>Not Run</t>
        </is>
      </c>
      <c r="G123" s="10" t="n"/>
      <c r="H123" s="10" t="n"/>
      <c r="I123" s="10" t="n"/>
      <c r="J123" s="10" t="n"/>
      <c r="K123" s="10" t="n"/>
      <c r="L123" s="10" t="inlineStr">
        <is>
          <t>Login</t>
        </is>
      </c>
      <c r="M123" s="10" t="inlineStr">
        <is>
          <t>Toggle</t>
        </is>
      </c>
      <c r="N123" s="10" t="inlineStr">
        <is>
          <t>Cambia</t>
        </is>
      </c>
      <c r="O123" s="10" t="inlineStr"/>
    </row>
    <row r="124">
      <c r="A124" s="9" t="inlineStr">
        <is>
          <t>SET-03</t>
        </is>
      </c>
      <c r="B124" s="9" t="inlineStr">
        <is>
          <t>neom_settings</t>
        </is>
      </c>
      <c r="C124" s="9" t="inlineStr">
        <is>
          <t>Settings</t>
        </is>
      </c>
      <c r="D124" s="9" t="inlineStr">
        <is>
          <t>P2</t>
        </is>
      </c>
      <c r="E124" s="9" t="inlineStr">
        <is>
          <t>Notif toggles</t>
        </is>
      </c>
      <c r="F124" s="9" t="inlineStr">
        <is>
          <t>Not Run</t>
        </is>
      </c>
      <c r="G124" s="9" t="n"/>
      <c r="H124" s="9" t="n"/>
      <c r="I124" s="9" t="n"/>
      <c r="J124" s="9" t="n"/>
      <c r="K124" s="9" t="n"/>
      <c r="L124" s="9" t="inlineStr">
        <is>
          <t>Login</t>
        </is>
      </c>
      <c r="M124" s="9" t="inlineStr">
        <is>
          <t>Settings</t>
        </is>
      </c>
      <c r="N124" s="9" t="inlineStr">
        <is>
          <t>Persistido</t>
        </is>
      </c>
      <c r="O124" s="9" t="inlineStr"/>
    </row>
    <row r="125">
      <c r="A125" s="10" t="inlineStr">
        <is>
          <t>RTE-01</t>
        </is>
      </c>
      <c r="B125" s="10" t="inlineStr">
        <is>
          <t>neom_commons</t>
        </is>
      </c>
      <c r="C125" s="10" t="inlineStr">
        <is>
          <t>Routing</t>
        </is>
      </c>
      <c r="D125" s="10" t="inlineStr">
        <is>
          <t>P0</t>
        </is>
      </c>
      <c r="E125" s="10" t="inlineStr">
        <is>
          <t>Deep link perfil</t>
        </is>
      </c>
      <c r="F125" s="10" t="inlineStr">
        <is>
          <t>Not Run</t>
        </is>
      </c>
      <c r="G125" s="10" t="n"/>
      <c r="H125" s="10" t="n"/>
      <c r="I125" s="10" t="n"/>
      <c r="J125" s="10" t="n"/>
      <c r="K125" s="10" t="n"/>
      <c r="L125" s="10" t="inlineStr">
        <is>
          <t>Sin login</t>
        </is>
      </c>
      <c r="M125" s="10" t="inlineStr">
        <is>
          <t>URL</t>
        </is>
      </c>
      <c r="N125" s="10" t="inlineStr">
        <is>
          <t>Visible</t>
        </is>
      </c>
      <c r="O125" s="10" t="inlineStr"/>
    </row>
    <row r="126">
      <c r="A126" s="9" t="inlineStr">
        <is>
          <t>RTE-02</t>
        </is>
      </c>
      <c r="B126" s="9" t="inlineStr">
        <is>
          <t>neom_commons</t>
        </is>
      </c>
      <c r="C126" s="9" t="inlineStr">
        <is>
          <t>Routing</t>
        </is>
      </c>
      <c r="D126" s="9" t="inlineStr">
        <is>
          <t>P0</t>
        </is>
      </c>
      <c r="E126" s="9" t="inlineStr">
        <is>
          <t>Deep link release</t>
        </is>
      </c>
      <c r="F126" s="9" t="inlineStr">
        <is>
          <t>Not Run</t>
        </is>
      </c>
      <c r="G126" s="9" t="n"/>
      <c r="H126" s="9" t="n"/>
      <c r="I126" s="9" t="n"/>
      <c r="J126" s="9" t="n"/>
      <c r="K126" s="9" t="n"/>
      <c r="L126" s="9" t="inlineStr">
        <is>
          <t>Sin login</t>
        </is>
      </c>
      <c r="M126" s="9" t="inlineStr">
        <is>
          <t>URL</t>
        </is>
      </c>
      <c r="N126" s="9" t="inlineStr">
        <is>
          <t>Visible</t>
        </is>
      </c>
      <c r="O126" s="9" t="inlineStr"/>
    </row>
    <row r="127">
      <c r="A127" s="10" t="inlineStr">
        <is>
          <t>RTE-03</t>
        </is>
      </c>
      <c r="B127" s="10" t="inlineStr">
        <is>
          <t>neom_commons</t>
        </is>
      </c>
      <c r="C127" s="10" t="inlineStr">
        <is>
          <t>Routing</t>
        </is>
      </c>
      <c r="D127" s="10" t="inlineStr">
        <is>
          <t>P0</t>
        </is>
      </c>
      <c r="E127" s="10" t="inlineStr">
        <is>
          <t>Deep link /par</t>
        </is>
      </c>
      <c r="F127" s="10" t="inlineStr">
        <is>
          <t>Not Run</t>
        </is>
      </c>
      <c r="G127" s="10" t="n"/>
      <c r="H127" s="10" t="n"/>
      <c r="I127" s="10" t="n"/>
      <c r="J127" s="10" t="n"/>
      <c r="K127" s="10" t="n"/>
      <c r="L127" s="10" t="inlineStr">
        <is>
          <t>Sin login</t>
        </is>
      </c>
      <c r="M127" s="10" t="inlineStr">
        <is>
          <t>URL</t>
        </is>
      </c>
      <c r="N127" s="10" t="inlineStr">
        <is>
          <t>Carga PAR</t>
        </is>
      </c>
      <c r="O127" s="10" t="inlineStr"/>
    </row>
    <row r="128">
      <c r="A128" s="9" t="inlineStr">
        <is>
          <t>RTE-04</t>
        </is>
      </c>
      <c r="B128" s="9" t="inlineStr">
        <is>
          <t>neom_commons</t>
        </is>
      </c>
      <c r="C128" s="9" t="inlineStr">
        <is>
          <t>Routing</t>
        </is>
      </c>
      <c r="D128" s="9" t="inlineStr">
        <is>
          <t>P0</t>
        </is>
      </c>
      <c r="E128" s="9" t="inlineStr">
        <is>
          <t>Deep link /historicState</t>
        </is>
      </c>
      <c r="F128" s="9" t="inlineStr">
        <is>
          <t>Not Run</t>
        </is>
      </c>
      <c r="G128" s="9" t="n"/>
      <c r="H128" s="9" t="n"/>
      <c r="I128" s="9" t="n"/>
      <c r="J128" s="9" t="n"/>
      <c r="K128" s="9" t="n"/>
      <c r="L128" s="9" t="inlineStr">
        <is>
          <t>Sin login</t>
        </is>
      </c>
      <c r="M128" s="9" t="inlineStr">
        <is>
          <t>URL</t>
        </is>
      </c>
      <c r="N128" s="9" t="inlineStr">
        <is>
          <t>Carga HSS</t>
        </is>
      </c>
      <c r="O128" s="9" t="inlineStr"/>
    </row>
    <row r="129">
      <c r="A129" s="10" t="inlineStr">
        <is>
          <t>RTE-05</t>
        </is>
      </c>
      <c r="B129" s="10" t="inlineStr">
        <is>
          <t>neom_commons</t>
        </is>
      </c>
      <c r="C129" s="10" t="inlineStr">
        <is>
          <t>Routing</t>
        </is>
      </c>
      <c r="D129" s="10" t="inlineStr">
        <is>
          <t>P1</t>
        </is>
      </c>
      <c r="E129" s="10" t="inlineStr">
        <is>
          <t>404</t>
        </is>
      </c>
      <c r="F129" s="10" t="inlineStr">
        <is>
          <t>Not Run</t>
        </is>
      </c>
      <c r="G129" s="10" t="n"/>
      <c r="H129" s="10" t="n"/>
      <c r="I129" s="10" t="n"/>
      <c r="J129" s="10" t="n"/>
      <c r="K129" s="10" t="n"/>
      <c r="L129" s="10" t="inlineStr">
        <is>
          <t>N/A</t>
        </is>
      </c>
      <c r="M129" s="10" t="inlineStr">
        <is>
          <t>URL inválida</t>
        </is>
      </c>
      <c r="N129" s="10" t="inlineStr">
        <is>
          <t>404</t>
        </is>
      </c>
      <c r="O129" s="10" t="inlineStr"/>
    </row>
    <row r="130">
      <c r="A130" s="9" t="inlineStr">
        <is>
          <t>RTE-06</t>
        </is>
      </c>
      <c r="B130" s="9" t="inlineStr">
        <is>
          <t>neom_commons</t>
        </is>
      </c>
      <c r="C130" s="9" t="inlineStr">
        <is>
          <t>Routing</t>
        </is>
      </c>
      <c r="D130" s="9" t="inlineStr">
        <is>
          <t>P1</t>
        </is>
      </c>
      <c r="E130" s="9" t="inlineStr">
        <is>
          <t>Back browser</t>
        </is>
      </c>
      <c r="F130" s="9" t="inlineStr">
        <is>
          <t>Not Run</t>
        </is>
      </c>
      <c r="G130" s="9" t="n"/>
      <c r="H130" s="9" t="n"/>
      <c r="I130" s="9" t="n"/>
      <c r="J130" s="9" t="n"/>
      <c r="K130" s="9" t="n"/>
      <c r="L130" s="9" t="inlineStr">
        <is>
          <t>Login</t>
        </is>
      </c>
      <c r="M130" s="9" t="inlineStr">
        <is>
          <t>Back</t>
        </is>
      </c>
      <c r="N130" s="9" t="inlineStr">
        <is>
          <t>Funciona</t>
        </is>
      </c>
      <c r="O130" s="9" t="inlineStr"/>
    </row>
    <row r="131">
      <c r="A131" s="10" t="inlineStr">
        <is>
          <t>PRF-01</t>
        </is>
      </c>
      <c r="B131" s="10" t="inlineStr">
        <is>
          <t>neom_commons</t>
        </is>
      </c>
      <c r="C131" s="10" t="inlineStr">
        <is>
          <t>Performance</t>
        </is>
      </c>
      <c r="D131" s="10" t="inlineStr">
        <is>
          <t>P1</t>
        </is>
      </c>
      <c r="E131" s="10" t="inlineStr">
        <is>
          <t>Carga Home &lt; 3s</t>
        </is>
      </c>
      <c r="F131" s="10" t="inlineStr">
        <is>
          <t>Not Run</t>
        </is>
      </c>
      <c r="G131" s="10" t="n"/>
      <c r="H131" s="10" t="n"/>
      <c r="I131" s="10" t="n"/>
      <c r="J131" s="10" t="n"/>
      <c r="K131" s="10" t="n"/>
      <c r="L131" s="10" t="inlineStr">
        <is>
          <t>Login</t>
        </is>
      </c>
      <c r="M131" s="10" t="inlineStr">
        <is>
          <t>Cronometrar</t>
        </is>
      </c>
      <c r="N131" s="10" t="inlineStr">
        <is>
          <t>&lt; 3s</t>
        </is>
      </c>
      <c r="O131" s="10" t="inlineStr"/>
    </row>
    <row r="132">
      <c r="A132" s="9" t="inlineStr">
        <is>
          <t>PRF-02</t>
        </is>
      </c>
      <c r="B132" s="9" t="inlineStr">
        <is>
          <t>neom_commons</t>
        </is>
      </c>
      <c r="C132" s="9" t="inlineStr">
        <is>
          <t>Performance</t>
        </is>
      </c>
      <c r="D132" s="9" t="inlineStr">
        <is>
          <t>P1</t>
        </is>
      </c>
      <c r="E132" s="9" t="inlineStr">
        <is>
          <t>Lighthouse ≥80</t>
        </is>
      </c>
      <c r="F132" s="9" t="inlineStr">
        <is>
          <t>Not Run</t>
        </is>
      </c>
      <c r="G132" s="9" t="n"/>
      <c r="H132" s="9" t="n"/>
      <c r="I132" s="9" t="n"/>
      <c r="J132" s="9" t="n"/>
      <c r="K132" s="9" t="n"/>
      <c r="L132" s="9" t="inlineStr">
        <is>
          <t>Web</t>
        </is>
      </c>
      <c r="M132" s="9" t="inlineStr">
        <is>
          <t>Audit</t>
        </is>
      </c>
      <c r="N132" s="9" t="inlineStr">
        <is>
          <t>Pass</t>
        </is>
      </c>
      <c r="O132" s="9" t="inlineStr"/>
    </row>
    <row r="133">
      <c r="A133" s="10" t="inlineStr">
        <is>
          <t>PRF-03</t>
        </is>
      </c>
      <c r="B133" s="10" t="inlineStr">
        <is>
          <t>neom_commons</t>
        </is>
      </c>
      <c r="C133" s="10" t="inlineStr">
        <is>
          <t>Performance</t>
        </is>
      </c>
      <c r="D133" s="10" t="inlineStr">
        <is>
          <t>P1</t>
        </is>
      </c>
      <c r="E133" s="10" t="inlineStr">
        <is>
          <t>Memory leak scroll</t>
        </is>
      </c>
      <c r="F133" s="10" t="inlineStr">
        <is>
          <t>Not Run</t>
        </is>
      </c>
      <c r="G133" s="10" t="n"/>
      <c r="H133" s="10" t="n"/>
      <c r="I133" s="10" t="n"/>
      <c r="J133" s="10" t="n"/>
      <c r="K133" s="10" t="n"/>
      <c r="L133" s="10" t="inlineStr">
        <is>
          <t>Home</t>
        </is>
      </c>
      <c r="M133" s="10" t="inlineStr">
        <is>
          <t>5 min</t>
        </is>
      </c>
      <c r="N133" s="10" t="inlineStr">
        <is>
          <t>Estable</t>
        </is>
      </c>
      <c r="O133" s="10" t="inlineStr"/>
    </row>
    <row r="134">
      <c r="A134" s="9" t="inlineStr">
        <is>
          <t>PRF-04</t>
        </is>
      </c>
      <c r="B134" s="9" t="inlineStr">
        <is>
          <t>neom_commons</t>
        </is>
      </c>
      <c r="C134" s="9" t="inlineStr">
        <is>
          <t>Performance</t>
        </is>
      </c>
      <c r="D134" s="9" t="inlineStr">
        <is>
          <t>P2</t>
        </is>
      </c>
      <c r="E134" s="9" t="inlineStr">
        <is>
          <t>PAR mic CV overhead</t>
        </is>
      </c>
      <c r="F134" s="9" t="inlineStr">
        <is>
          <t>Not Run</t>
        </is>
      </c>
      <c r="G134" s="9" t="n"/>
      <c r="H134" s="9" t="n"/>
      <c r="I134" s="9" t="n"/>
      <c r="J134" s="9" t="n"/>
      <c r="K134" s="9" t="n"/>
      <c r="L134" s="9" t="inlineStr">
        <is>
          <t>60s grabación</t>
        </is>
      </c>
      <c r="M134" s="9" t="inlineStr">
        <is>
          <t>Cronometrar</t>
        </is>
      </c>
      <c r="N134" s="9" t="inlineStr">
        <is>
          <t>No bloquea UI</t>
        </is>
      </c>
      <c r="O134" s="9" t="inlineStr"/>
    </row>
    <row r="135">
      <c r="A135" s="10" t="inlineStr">
        <is>
          <t>XPL-01</t>
        </is>
      </c>
      <c r="B135" s="10" t="inlineStr">
        <is>
          <t>neom_commons</t>
        </is>
      </c>
      <c r="C135" s="10" t="inlineStr">
        <is>
          <t>Cross</t>
        </is>
      </c>
      <c r="D135" s="10" t="inlineStr">
        <is>
          <t>P0</t>
        </is>
      </c>
      <c r="E135" s="10" t="inlineStr">
        <is>
          <t>Web Chrome</t>
        </is>
      </c>
      <c r="F135" s="10" t="inlineStr">
        <is>
          <t>Not Run</t>
        </is>
      </c>
      <c r="G135" s="10" t="n"/>
      <c r="H135" s="10" t="n"/>
      <c r="I135" s="10" t="n"/>
      <c r="J135" s="10" t="n"/>
      <c r="K135" s="10" t="n"/>
      <c r="L135" s="10" t="inlineStr">
        <is>
          <t>Chrome 120</t>
        </is>
      </c>
      <c r="M135" s="10" t="inlineStr">
        <is>
          <t>Boot</t>
        </is>
      </c>
      <c r="N135" s="10" t="inlineStr">
        <is>
          <t>OK</t>
        </is>
      </c>
      <c r="O135" s="10" t="inlineStr"/>
    </row>
    <row r="136">
      <c r="A136" s="9" t="inlineStr">
        <is>
          <t>XPL-02</t>
        </is>
      </c>
      <c r="B136" s="9" t="inlineStr">
        <is>
          <t>neom_commons</t>
        </is>
      </c>
      <c r="C136" s="9" t="inlineStr">
        <is>
          <t>Cross</t>
        </is>
      </c>
      <c r="D136" s="9" t="inlineStr">
        <is>
          <t>P1</t>
        </is>
      </c>
      <c r="E136" s="9" t="inlineStr">
        <is>
          <t>Web Firefox</t>
        </is>
      </c>
      <c r="F136" s="9" t="inlineStr">
        <is>
          <t>Not Run</t>
        </is>
      </c>
      <c r="G136" s="9" t="n"/>
      <c r="H136" s="9" t="n"/>
      <c r="I136" s="9" t="n"/>
      <c r="J136" s="9" t="n"/>
      <c r="K136" s="9" t="n"/>
      <c r="L136" s="9" t="inlineStr">
        <is>
          <t>Firefox 120</t>
        </is>
      </c>
      <c r="M136" s="9" t="inlineStr">
        <is>
          <t>Boot</t>
        </is>
      </c>
      <c r="N136" s="9" t="inlineStr">
        <is>
          <t>OK</t>
        </is>
      </c>
      <c r="O136" s="9" t="inlineStr"/>
    </row>
    <row r="137">
      <c r="A137" s="10" t="inlineStr">
        <is>
          <t>XPL-03</t>
        </is>
      </c>
      <c r="B137" s="10" t="inlineStr">
        <is>
          <t>neom_commons</t>
        </is>
      </c>
      <c r="C137" s="10" t="inlineStr">
        <is>
          <t>Cross</t>
        </is>
      </c>
      <c r="D137" s="10" t="inlineStr">
        <is>
          <t>P1</t>
        </is>
      </c>
      <c r="E137" s="10" t="inlineStr">
        <is>
          <t>Web Safari</t>
        </is>
      </c>
      <c r="F137" s="10" t="inlineStr">
        <is>
          <t>Not Run</t>
        </is>
      </c>
      <c r="G137" s="10" t="n"/>
      <c r="H137" s="10" t="n"/>
      <c r="I137" s="10" t="n"/>
      <c r="J137" s="10" t="n"/>
      <c r="K137" s="10" t="n"/>
      <c r="L137" s="10" t="inlineStr">
        <is>
          <t>Safari 17</t>
        </is>
      </c>
      <c r="M137" s="10" t="inlineStr">
        <is>
          <t>Boot</t>
        </is>
      </c>
      <c r="N137" s="10" t="inlineStr">
        <is>
          <t>OK</t>
        </is>
      </c>
      <c r="O137" s="10" t="inlineStr"/>
    </row>
    <row r="138">
      <c r="A138" s="9" t="inlineStr">
        <is>
          <t>XPL-04</t>
        </is>
      </c>
      <c r="B138" s="9" t="inlineStr">
        <is>
          <t>neom_commons</t>
        </is>
      </c>
      <c r="C138" s="9" t="inlineStr">
        <is>
          <t>Cross</t>
        </is>
      </c>
      <c r="D138" s="9" t="inlineStr">
        <is>
          <t>P0</t>
        </is>
      </c>
      <c r="E138" s="9" t="inlineStr">
        <is>
          <t>Android</t>
        </is>
      </c>
      <c r="F138" s="9" t="inlineStr">
        <is>
          <t>Not Run</t>
        </is>
      </c>
      <c r="G138" s="9" t="n"/>
      <c r="H138" s="9" t="n"/>
      <c r="I138" s="9" t="n"/>
      <c r="J138" s="9" t="n"/>
      <c r="K138" s="9" t="n"/>
      <c r="L138" s="9" t="inlineStr">
        <is>
          <t>Pixel</t>
        </is>
      </c>
      <c r="M138" s="9" t="inlineStr">
        <is>
          <t>APK</t>
        </is>
      </c>
      <c r="N138" s="9" t="inlineStr">
        <is>
          <t>OK</t>
        </is>
      </c>
      <c r="O138" s="9" t="inlineStr"/>
    </row>
    <row r="139">
      <c r="A139" s="10" t="inlineStr">
        <is>
          <t>XPL-05</t>
        </is>
      </c>
      <c r="B139" s="10" t="inlineStr">
        <is>
          <t>neom_commons</t>
        </is>
      </c>
      <c r="C139" s="10" t="inlineStr">
        <is>
          <t>Cross</t>
        </is>
      </c>
      <c r="D139" s="10" t="inlineStr">
        <is>
          <t>P0</t>
        </is>
      </c>
      <c r="E139" s="10" t="inlineStr">
        <is>
          <t>iOS</t>
        </is>
      </c>
      <c r="F139" s="10" t="inlineStr">
        <is>
          <t>Not Run</t>
        </is>
      </c>
      <c r="G139" s="10" t="n"/>
      <c r="H139" s="10" t="n"/>
      <c r="I139" s="10" t="n"/>
      <c r="J139" s="10" t="n"/>
      <c r="K139" s="10" t="n"/>
      <c r="L139" s="10" t="inlineStr">
        <is>
          <t>iPhone</t>
        </is>
      </c>
      <c r="M139" s="10" t="inlineStr">
        <is>
          <t>TestFlight</t>
        </is>
      </c>
      <c r="N139" s="10" t="inlineStr">
        <is>
          <t>OK</t>
        </is>
      </c>
      <c r="O139" s="10" t="inlineStr"/>
    </row>
    <row r="140">
      <c r="A140" s="9" t="inlineStr">
        <is>
          <t>XPL-06</t>
        </is>
      </c>
      <c r="B140" s="9" t="inlineStr">
        <is>
          <t>neom_commons</t>
        </is>
      </c>
      <c r="C140" s="9" t="inlineStr">
        <is>
          <t>Cross</t>
        </is>
      </c>
      <c r="D140" s="9" t="inlineStr">
        <is>
          <t>P2</t>
        </is>
      </c>
      <c r="E140" s="9" t="inlineStr">
        <is>
          <t>Mic permissions iOS</t>
        </is>
      </c>
      <c r="F140" s="9" t="inlineStr">
        <is>
          <t>Not Run</t>
        </is>
      </c>
      <c r="G140" s="9" t="n"/>
      <c r="H140" s="9" t="n"/>
      <c r="I140" s="9" t="n"/>
      <c r="J140" s="9" t="n"/>
      <c r="K140" s="9" t="n"/>
      <c r="L140" s="9" t="inlineStr">
        <is>
          <t>iOS</t>
        </is>
      </c>
      <c r="M140" s="9" t="inlineStr">
        <is>
          <t>PAR</t>
        </is>
      </c>
      <c r="N140" s="9" t="inlineStr">
        <is>
          <t>Pide y graba</t>
        </is>
      </c>
      <c r="O140" s="9" t="inlineStr"/>
    </row>
    <row r="141">
      <c r="A141" s="10" t="inlineStr">
        <is>
          <t>XPL-07</t>
        </is>
      </c>
      <c r="B141" s="10" t="inlineStr">
        <is>
          <t>neom_commons</t>
        </is>
      </c>
      <c r="C141" s="10" t="inlineStr">
        <is>
          <t>Cross</t>
        </is>
      </c>
      <c r="D141" s="10" t="inlineStr">
        <is>
          <t>P2</t>
        </is>
      </c>
      <c r="E141" s="10" t="inlineStr">
        <is>
          <t>Mic permissions Android</t>
        </is>
      </c>
      <c r="F141" s="10" t="inlineStr">
        <is>
          <t>Not Run</t>
        </is>
      </c>
      <c r="G141" s="10" t="n"/>
      <c r="H141" s="10" t="n"/>
      <c r="I141" s="10" t="n"/>
      <c r="J141" s="10" t="n"/>
      <c r="K141" s="10" t="n"/>
      <c r="L141" s="10" t="inlineStr">
        <is>
          <t>Android</t>
        </is>
      </c>
      <c r="M141" s="10" t="inlineStr">
        <is>
          <t>PAR</t>
        </is>
      </c>
      <c r="N141" s="10" t="inlineStr">
        <is>
          <t>Pide y graba</t>
        </is>
      </c>
      <c r="O141" s="10" t="inlineStr"/>
    </row>
    <row r="142">
      <c r="A142" s="9" t="inlineStr">
        <is>
          <t>XPL-08</t>
        </is>
      </c>
      <c r="B142" s="9" t="inlineStr">
        <is>
          <t>neom_commons</t>
        </is>
      </c>
      <c r="C142" s="9" t="inlineStr">
        <is>
          <t>Cross</t>
        </is>
      </c>
      <c r="D142" s="9" t="inlineStr">
        <is>
          <t>P2</t>
        </is>
      </c>
      <c r="E142" s="9" t="inlineStr">
        <is>
          <t>Mic permissions Web</t>
        </is>
      </c>
      <c r="F142" s="9" t="inlineStr">
        <is>
          <t>Not Run</t>
        </is>
      </c>
      <c r="G142" s="9" t="n"/>
      <c r="H142" s="9" t="n"/>
      <c r="I142" s="9" t="n"/>
      <c r="J142" s="9" t="n"/>
      <c r="K142" s="9" t="n"/>
      <c r="L142" s="9" t="inlineStr">
        <is>
          <t>Web</t>
        </is>
      </c>
      <c r="M142" s="9" t="inlineStr">
        <is>
          <t>PAR</t>
        </is>
      </c>
      <c r="N142" s="9" t="inlineStr">
        <is>
          <t>Pide y graba</t>
        </is>
      </c>
      <c r="O142" s="9" t="inlineStr"/>
    </row>
    <row r="143">
      <c r="A143" s="10" t="inlineStr">
        <is>
          <t>ERR-01</t>
        </is>
      </c>
      <c r="B143" s="10" t="inlineStr">
        <is>
          <t>neom_commons</t>
        </is>
      </c>
      <c r="C143" s="10" t="inlineStr">
        <is>
          <t>Errors</t>
        </is>
      </c>
      <c r="D143" s="10" t="inlineStr">
        <is>
          <t>P1</t>
        </is>
      </c>
      <c r="E143" s="10" t="inlineStr">
        <is>
          <t>Network drop</t>
        </is>
      </c>
      <c r="F143" s="10" t="inlineStr">
        <is>
          <t>Not Run</t>
        </is>
      </c>
      <c r="G143" s="10" t="n"/>
      <c r="H143" s="10" t="n"/>
      <c r="I143" s="10" t="n"/>
      <c r="J143" s="10" t="n"/>
      <c r="K143" s="10" t="n"/>
      <c r="L143" s="10" t="inlineStr">
        <is>
          <t>Sin red</t>
        </is>
      </c>
      <c r="M143" s="10" t="inlineStr">
        <is>
          <t>Acción</t>
        </is>
      </c>
      <c r="N143" s="10" t="inlineStr">
        <is>
          <t>Error claro</t>
        </is>
      </c>
      <c r="O143" s="10" t="inlineStr"/>
    </row>
    <row r="144">
      <c r="A144" s="9" t="inlineStr">
        <is>
          <t>ERR-02</t>
        </is>
      </c>
      <c r="B144" s="9" t="inlineStr">
        <is>
          <t>neom_commons</t>
        </is>
      </c>
      <c r="C144" s="9" t="inlineStr">
        <is>
          <t>Errors</t>
        </is>
      </c>
      <c r="D144" s="9" t="inlineStr">
        <is>
          <t>P1</t>
        </is>
      </c>
      <c r="E144" s="9" t="inlineStr">
        <is>
          <t>Session expiry</t>
        </is>
      </c>
      <c r="F144" s="9" t="inlineStr">
        <is>
          <t>Not Run</t>
        </is>
      </c>
      <c r="G144" s="9" t="n"/>
      <c r="H144" s="9" t="n"/>
      <c r="I144" s="9" t="n"/>
      <c r="J144" s="9" t="n"/>
      <c r="K144" s="9" t="n"/>
      <c r="L144" s="9" t="inlineStr">
        <is>
          <t>Login</t>
        </is>
      </c>
      <c r="M144" s="9" t="inlineStr">
        <is>
          <t>Wait</t>
        </is>
      </c>
      <c r="N144" s="9" t="inlineStr">
        <is>
          <t>Redirige</t>
        </is>
      </c>
      <c r="O144" s="9" t="inlineStr"/>
    </row>
    <row r="145">
      <c r="A145" s="10" t="inlineStr">
        <is>
          <t>ERR-03</t>
        </is>
      </c>
      <c r="B145" s="10" t="inlineStr">
        <is>
          <t>neom_commons</t>
        </is>
      </c>
      <c r="C145" s="10" t="inlineStr">
        <is>
          <t>Errors</t>
        </is>
      </c>
      <c r="D145" s="10" t="inlineStr">
        <is>
          <t>P1</t>
        </is>
      </c>
      <c r="E145" s="10" t="inlineStr">
        <is>
          <t>Mic denied</t>
        </is>
      </c>
      <c r="F145" s="10" t="inlineStr">
        <is>
          <t>Not Run</t>
        </is>
      </c>
      <c r="G145" s="10" t="n"/>
      <c r="H145" s="10" t="n"/>
      <c r="I145" s="10" t="n"/>
      <c r="J145" s="10" t="n"/>
      <c r="K145" s="10" t="n"/>
      <c r="L145" s="10" t="inlineStr">
        <is>
          <t>PAR</t>
        </is>
      </c>
      <c r="M145" s="10" t="inlineStr">
        <is>
          <t>Denegar permiso</t>
        </is>
      </c>
      <c r="N145" s="10" t="inlineStr">
        <is>
          <t>Mensaje claro</t>
        </is>
      </c>
      <c r="O145" s="10" t="inlineStr"/>
    </row>
    <row r="146">
      <c r="A146" s="9" t="inlineStr">
        <is>
          <t>ERR-04</t>
        </is>
      </c>
      <c r="B146" s="9" t="inlineStr">
        <is>
          <t>neom_commons</t>
        </is>
      </c>
      <c r="C146" s="9" t="inlineStr">
        <is>
          <t>Errors</t>
        </is>
      </c>
      <c r="D146" s="9" t="inlineStr">
        <is>
          <t>P2</t>
        </is>
      </c>
      <c r="E146" s="9" t="inlineStr">
        <is>
          <t>Servidor 500</t>
        </is>
      </c>
      <c r="F146" s="9" t="inlineStr">
        <is>
          <t>Not Run</t>
        </is>
      </c>
      <c r="G146" s="9" t="n"/>
      <c r="H146" s="9" t="n"/>
      <c r="I146" s="9" t="n"/>
      <c r="J146" s="9" t="n"/>
      <c r="K146" s="9" t="n"/>
      <c r="L146" s="9" t="inlineStr">
        <is>
          <t>Trigger</t>
        </is>
      </c>
      <c r="M146" s="9" t="inlineStr">
        <is>
          <t>Acción</t>
        </is>
      </c>
      <c r="N146" s="9" t="inlineStr">
        <is>
          <t>No técnico</t>
        </is>
      </c>
      <c r="O146" s="9" t="inlineStr"/>
    </row>
    <row r="147">
      <c r="A147" s="10" t="inlineStr">
        <is>
          <t>SEC-01</t>
        </is>
      </c>
      <c r="B147" s="10" t="inlineStr">
        <is>
          <t>neom_auth</t>
        </is>
      </c>
      <c r="C147" s="10" t="inlineStr">
        <is>
          <t>Security</t>
        </is>
      </c>
      <c r="D147" s="10" t="inlineStr">
        <is>
          <t>P0</t>
        </is>
      </c>
      <c r="E147" s="10" t="inlineStr">
        <is>
          <t>XSS</t>
        </is>
      </c>
      <c r="F147" s="10" t="inlineStr">
        <is>
          <t>Not Run</t>
        </is>
      </c>
      <c r="G147" s="10" t="n"/>
      <c r="H147" s="10" t="n"/>
      <c r="I147" s="10" t="n"/>
      <c r="J147" s="10" t="n"/>
      <c r="K147" s="10" t="n"/>
      <c r="L147" s="10" t="inlineStr">
        <is>
          <t>Login</t>
        </is>
      </c>
      <c r="M147" s="10" t="inlineStr">
        <is>
          <t>&lt;script&gt;</t>
        </is>
      </c>
      <c r="N147" s="10" t="inlineStr">
        <is>
          <t>Escapado</t>
        </is>
      </c>
      <c r="O147" s="10" t="inlineStr"/>
    </row>
    <row r="148">
      <c r="A148" s="9" t="inlineStr">
        <is>
          <t>SEC-02</t>
        </is>
      </c>
      <c r="B148" s="9" t="inlineStr">
        <is>
          <t>neom_auth</t>
        </is>
      </c>
      <c r="C148" s="9" t="inlineStr">
        <is>
          <t>Security</t>
        </is>
      </c>
      <c r="D148" s="9" t="inlineStr">
        <is>
          <t>P0</t>
        </is>
      </c>
      <c r="E148" s="9" t="inlineStr">
        <is>
          <t>Session expiry</t>
        </is>
      </c>
      <c r="F148" s="9" t="inlineStr">
        <is>
          <t>Not Run</t>
        </is>
      </c>
      <c r="G148" s="9" t="n"/>
      <c r="H148" s="9" t="n"/>
      <c r="I148" s="9" t="n"/>
      <c r="J148" s="9" t="n"/>
      <c r="K148" s="9" t="n"/>
      <c r="L148" s="9" t="inlineStr">
        <is>
          <t>Login</t>
        </is>
      </c>
      <c r="M148" s="9" t="inlineStr">
        <is>
          <t>Wait</t>
        </is>
      </c>
      <c r="N148" s="9" t="inlineStr">
        <is>
          <t>Redirige</t>
        </is>
      </c>
      <c r="O148" s="9" t="inlineStr"/>
    </row>
    <row r="149">
      <c r="A149" s="10" t="inlineStr">
        <is>
          <t>SEC-03</t>
        </is>
      </c>
      <c r="B149" s="10" t="inlineStr">
        <is>
          <t>neom_auth</t>
        </is>
      </c>
      <c r="C149" s="10" t="inlineStr">
        <is>
          <t>Security</t>
        </is>
      </c>
      <c r="D149" s="10" t="inlineStr">
        <is>
          <t>P1</t>
        </is>
      </c>
      <c r="E149" s="10" t="inlineStr">
        <is>
          <t>Permisos rol</t>
        </is>
      </c>
      <c r="F149" s="10" t="inlineStr">
        <is>
          <t>Not Run</t>
        </is>
      </c>
      <c r="G149" s="10" t="n"/>
      <c r="H149" s="10" t="n"/>
      <c r="I149" s="10" t="n"/>
      <c r="J149" s="10" t="n"/>
      <c r="K149" s="10" t="n"/>
      <c r="L149" s="10" t="inlineStr">
        <is>
          <t>User</t>
        </is>
      </c>
      <c r="M149" s="10" t="inlineStr">
        <is>
          <t>/admin</t>
        </is>
      </c>
      <c r="N149" s="10" t="inlineStr">
        <is>
          <t>Bloqueado</t>
        </is>
      </c>
      <c r="O149" s="10" t="inlineStr"/>
    </row>
    <row r="150">
      <c r="A150" s="9" t="inlineStr">
        <is>
          <t>SEC-04</t>
        </is>
      </c>
      <c r="B150" s="9" t="inlineStr">
        <is>
          <t>neom_par</t>
        </is>
      </c>
      <c r="C150" s="9" t="inlineStr">
        <is>
          <t>Security</t>
        </is>
      </c>
      <c r="D150" s="9" t="inlineStr">
        <is>
          <t>P0</t>
        </is>
      </c>
      <c r="E150" s="9" t="inlineStr">
        <is>
          <t>Mic data no se sube</t>
        </is>
      </c>
      <c r="F150" s="9" t="inlineStr">
        <is>
          <t>Not Run</t>
        </is>
      </c>
      <c r="G150" s="9" t="n"/>
      <c r="H150" s="9" t="n"/>
      <c r="I150" s="9" t="n"/>
      <c r="J150" s="9" t="n"/>
      <c r="K150" s="9" t="n"/>
      <c r="L150" s="9" t="inlineStr">
        <is>
          <t>PAR</t>
        </is>
      </c>
      <c r="M150" s="9" t="inlineStr">
        <is>
          <t>Capturar</t>
        </is>
      </c>
      <c r="N150" s="9" t="inlineStr">
        <is>
          <t>Solo CV local</t>
        </is>
      </c>
      <c r="O150" s="9" t="inlineStr"/>
    </row>
    <row r="151">
      <c r="A151" s="10" t="inlineStr">
        <is>
          <t>SEC-05</t>
        </is>
      </c>
      <c r="B151" s="10" t="inlineStr">
        <is>
          <t>neom_biofeedback</t>
        </is>
      </c>
      <c r="C151" s="10" t="inlineStr">
        <is>
          <t>Security</t>
        </is>
      </c>
      <c r="D151" s="10" t="inlineStr">
        <is>
          <t>P0</t>
        </is>
      </c>
      <c r="E151" s="10" t="inlineStr">
        <is>
          <t>Audio raw no persiste</t>
        </is>
      </c>
      <c r="F151" s="10" t="inlineStr">
        <is>
          <t>Not Run</t>
        </is>
      </c>
      <c r="G151" s="10" t="n"/>
      <c r="H151" s="10" t="n"/>
      <c r="I151" s="10" t="n"/>
      <c r="J151" s="10" t="n"/>
      <c r="K151" s="10" t="n"/>
      <c r="L151" s="10" t="inlineStr">
        <is>
          <t>Bio</t>
        </is>
      </c>
      <c r="M151" s="10" t="inlineStr">
        <is>
          <t>Sesión</t>
        </is>
      </c>
      <c r="N151" s="10" t="inlineStr">
        <is>
          <t>Solo features</t>
        </is>
      </c>
      <c r="O151" s="10" t="inlineStr"/>
    </row>
    <row r="152">
      <c r="A152" s="9" t="inlineStr">
        <is>
          <t>I18N-01</t>
        </is>
      </c>
      <c r="B152" s="9" t="inlineStr">
        <is>
          <t>neom_commons</t>
        </is>
      </c>
      <c r="C152" s="9" t="inlineStr">
        <is>
          <t>i18n</t>
        </is>
      </c>
      <c r="D152" s="9" t="inlineStr">
        <is>
          <t>P1</t>
        </is>
      </c>
      <c r="E152" s="9" t="inlineStr">
        <is>
          <t>ES default</t>
        </is>
      </c>
      <c r="F152" s="9" t="inlineStr">
        <is>
          <t>Not Run</t>
        </is>
      </c>
      <c r="G152" s="9" t="n"/>
      <c r="H152" s="9" t="n"/>
      <c r="I152" s="9" t="n"/>
      <c r="J152" s="9" t="n"/>
      <c r="K152" s="9" t="n"/>
      <c r="L152" s="9" t="inlineStr">
        <is>
          <t>Boot</t>
        </is>
      </c>
      <c r="M152" s="9" t="inlineStr">
        <is>
          <t>UI</t>
        </is>
      </c>
      <c r="N152" s="9" t="inlineStr">
        <is>
          <t>ES</t>
        </is>
      </c>
      <c r="O152" s="9" t="inlineStr"/>
    </row>
    <row r="153">
      <c r="A153" s="10" t="inlineStr">
        <is>
          <t>I18N-02</t>
        </is>
      </c>
      <c r="B153" s="10" t="inlineStr">
        <is>
          <t>neom_commons</t>
        </is>
      </c>
      <c r="C153" s="10" t="inlineStr">
        <is>
          <t>i18n</t>
        </is>
      </c>
      <c r="D153" s="10" t="inlineStr">
        <is>
          <t>P1</t>
        </is>
      </c>
      <c r="E153" s="10" t="inlineStr">
        <is>
          <t>EN switch</t>
        </is>
      </c>
      <c r="F153" s="10" t="inlineStr">
        <is>
          <t>Not Run</t>
        </is>
      </c>
      <c r="G153" s="10" t="n"/>
      <c r="H153" s="10" t="n"/>
      <c r="I153" s="10" t="n"/>
      <c r="J153" s="10" t="n"/>
      <c r="K153" s="10" t="n"/>
      <c r="L153" s="10" t="inlineStr">
        <is>
          <t>Settings</t>
        </is>
      </c>
      <c r="M153" s="10" t="inlineStr">
        <is>
          <t>Toggle</t>
        </is>
      </c>
      <c r="N153" s="10" t="inlineStr">
        <is>
          <t>EN</t>
        </is>
      </c>
      <c r="O153" s="10" t="inlineStr"/>
    </row>
    <row r="154">
      <c r="A154" s="9" t="inlineStr">
        <is>
          <t>I18N-03</t>
        </is>
      </c>
      <c r="B154" s="9" t="inlineStr">
        <is>
          <t>neom_commons</t>
        </is>
      </c>
      <c r="C154" s="9" t="inlineStr">
        <is>
          <t>i18n</t>
        </is>
      </c>
      <c r="D154" s="9" t="inlineStr">
        <is>
          <t>P2</t>
        </is>
      </c>
      <c r="E154" s="9" t="inlineStr">
        <is>
          <t>FR switch</t>
        </is>
      </c>
      <c r="F154" s="9" t="inlineStr">
        <is>
          <t>Not Run</t>
        </is>
      </c>
      <c r="G154" s="9" t="n"/>
      <c r="H154" s="9" t="n"/>
      <c r="I154" s="9" t="n"/>
      <c r="J154" s="9" t="n"/>
      <c r="K154" s="9" t="n"/>
      <c r="L154" s="9" t="inlineStr">
        <is>
          <t>Settings</t>
        </is>
      </c>
      <c r="M154" s="9" t="inlineStr">
        <is>
          <t>Toggle</t>
        </is>
      </c>
      <c r="N154" s="9" t="inlineStr">
        <is>
          <t>FR</t>
        </is>
      </c>
      <c r="O154" s="9" t="inlineStr"/>
    </row>
    <row r="155">
      <c r="A155" s="10" t="inlineStr">
        <is>
          <t>I18N-04</t>
        </is>
      </c>
      <c r="B155" s="10" t="inlineStr">
        <is>
          <t>neom_commons</t>
        </is>
      </c>
      <c r="C155" s="10" t="inlineStr">
        <is>
          <t>i18n</t>
        </is>
      </c>
      <c r="D155" s="10" t="inlineStr">
        <is>
          <t>P2</t>
        </is>
      </c>
      <c r="E155" s="10" t="inlineStr">
        <is>
          <t>DE switch</t>
        </is>
      </c>
      <c r="F155" s="10" t="inlineStr">
        <is>
          <t>Not Run</t>
        </is>
      </c>
      <c r="G155" s="10" t="n"/>
      <c r="H155" s="10" t="n"/>
      <c r="I155" s="10" t="n"/>
      <c r="J155" s="10" t="n"/>
      <c r="K155" s="10" t="n"/>
      <c r="L155" s="10" t="inlineStr">
        <is>
          <t>Settings</t>
        </is>
      </c>
      <c r="M155" s="10" t="inlineStr">
        <is>
          <t>Toggle</t>
        </is>
      </c>
      <c r="N155" s="10" t="inlineStr">
        <is>
          <t>DE</t>
        </is>
      </c>
      <c r="O155" s="10" t="inlineStr"/>
    </row>
    <row r="156">
      <c r="A156" s="9" t="inlineStr">
        <is>
          <t>I18N-05</t>
        </is>
      </c>
      <c r="B156" s="9" t="inlineStr">
        <is>
          <t>neom_commons</t>
        </is>
      </c>
      <c r="C156" s="9" t="inlineStr">
        <is>
          <t>i18n</t>
        </is>
      </c>
      <c r="D156" s="9" t="inlineStr">
        <is>
          <t>P3</t>
        </is>
      </c>
      <c r="E156" s="9" t="inlineStr">
        <is>
          <t>PAR 4 traducciones</t>
        </is>
      </c>
      <c r="F156" s="9" t="inlineStr">
        <is>
          <t>Not Run</t>
        </is>
      </c>
      <c r="G156" s="9" t="n"/>
      <c r="H156" s="9" t="n"/>
      <c r="I156" s="9" t="n"/>
      <c r="J156" s="9" t="n"/>
      <c r="K156" s="9" t="n"/>
      <c r="L156" s="9" t="inlineStr">
        <is>
          <t>Settings</t>
        </is>
      </c>
      <c r="M156" s="9" t="inlineStr">
        <is>
          <t>Switch</t>
        </is>
      </c>
      <c r="N156" s="9" t="inlineStr">
        <is>
          <t>Sin keys raw</t>
        </is>
      </c>
      <c r="O156" s="9" t="inlineStr"/>
    </row>
    <row r="157">
      <c r="A157" s="10" t="inlineStr">
        <is>
          <t>I18N-06</t>
        </is>
      </c>
      <c r="B157" s="10" t="inlineStr">
        <is>
          <t>neom_commons</t>
        </is>
      </c>
      <c r="C157" s="10" t="inlineStr">
        <is>
          <t>i18n</t>
        </is>
      </c>
      <c r="D157" s="10" t="inlineStr">
        <is>
          <t>P3</t>
        </is>
      </c>
      <c r="E157" s="10" t="inlineStr">
        <is>
          <t>HistoricState 40 keys</t>
        </is>
      </c>
      <c r="F157" s="10" t="inlineStr">
        <is>
          <t>Not Run</t>
        </is>
      </c>
      <c r="G157" s="10" t="n"/>
      <c r="H157" s="10" t="n"/>
      <c r="I157" s="10" t="n"/>
      <c r="J157" s="10" t="n"/>
      <c r="K157" s="10" t="n"/>
      <c r="L157" s="10" t="inlineStr">
        <is>
          <t>Settings</t>
        </is>
      </c>
      <c r="M157" s="10" t="inlineStr">
        <is>
          <t>Switch</t>
        </is>
      </c>
      <c r="N157" s="10" t="inlineStr">
        <is>
          <t>Sin keys raw</t>
        </is>
      </c>
      <c r="O157" s="10" t="inlineStr"/>
    </row>
    <row r="158">
      <c r="A158" s="9" t="inlineStr">
        <is>
          <t>A11Y-01</t>
        </is>
      </c>
      <c r="B158" s="9" t="inlineStr">
        <is>
          <t>neom_commons</t>
        </is>
      </c>
      <c r="C158" s="9" t="inlineStr">
        <is>
          <t>A11y</t>
        </is>
      </c>
      <c r="D158" s="9" t="inlineStr">
        <is>
          <t>P2</t>
        </is>
      </c>
      <c r="E158" s="9" t="inlineStr">
        <is>
          <t>Tab nav</t>
        </is>
      </c>
      <c r="F158" s="9" t="inlineStr">
        <is>
          <t>Not Run</t>
        </is>
      </c>
      <c r="G158" s="9" t="n"/>
      <c r="H158" s="9" t="n"/>
      <c r="I158" s="9" t="n"/>
      <c r="J158" s="9" t="n"/>
      <c r="K158" s="9" t="n"/>
      <c r="L158" s="9" t="inlineStr">
        <is>
          <t>Cualquier</t>
        </is>
      </c>
      <c r="M158" s="9" t="inlineStr">
        <is>
          <t>Tab</t>
        </is>
      </c>
      <c r="N158" s="9" t="inlineStr">
        <is>
          <t>Focus visible</t>
        </is>
      </c>
      <c r="O158" s="9" t="inlineStr"/>
    </row>
    <row r="159">
      <c r="A159" s="10" t="inlineStr">
        <is>
          <t>A11Y-02</t>
        </is>
      </c>
      <c r="B159" s="10" t="inlineStr">
        <is>
          <t>neom_commons</t>
        </is>
      </c>
      <c r="C159" s="10" t="inlineStr">
        <is>
          <t>A11y</t>
        </is>
      </c>
      <c r="D159" s="10" t="inlineStr">
        <is>
          <t>P2</t>
        </is>
      </c>
      <c r="E159" s="10" t="inlineStr">
        <is>
          <t>Contraste AA</t>
        </is>
      </c>
      <c r="F159" s="10" t="inlineStr">
        <is>
          <t>Not Run</t>
        </is>
      </c>
      <c r="G159" s="10" t="n"/>
      <c r="H159" s="10" t="n"/>
      <c r="I159" s="10" t="n"/>
      <c r="J159" s="10" t="n"/>
      <c r="K159" s="10" t="n"/>
      <c r="L159" s="10" t="inlineStr">
        <is>
          <t>Cualquier</t>
        </is>
      </c>
      <c r="M159" s="10" t="inlineStr">
        <is>
          <t>Audit</t>
        </is>
      </c>
      <c r="N159" s="10" t="inlineStr">
        <is>
          <t>Cumple</t>
        </is>
      </c>
      <c r="O159" s="10" t="inlineStr"/>
    </row>
    <row r="160">
      <c r="A160" s="9" t="inlineStr">
        <is>
          <t>A11Y-03</t>
        </is>
      </c>
      <c r="B160" s="9" t="inlineStr">
        <is>
          <t>neom_commons</t>
        </is>
      </c>
      <c r="C160" s="9" t="inlineStr">
        <is>
          <t>A11y</t>
        </is>
      </c>
      <c r="D160" s="9" t="inlineStr">
        <is>
          <t>P3</t>
        </is>
      </c>
      <c r="E160" s="9" t="inlineStr">
        <is>
          <t>Screen reader</t>
        </is>
      </c>
      <c r="F160" s="9" t="inlineStr">
        <is>
          <t>Not Run</t>
        </is>
      </c>
      <c r="G160" s="9" t="n"/>
      <c r="H160" s="9" t="n"/>
      <c r="I160" s="9" t="n"/>
      <c r="J160" s="9" t="n"/>
      <c r="K160" s="9" t="n"/>
      <c r="L160" s="9" t="inlineStr">
        <is>
          <t>Cualquier</t>
        </is>
      </c>
      <c r="M160" s="9" t="inlineStr">
        <is>
          <t>NVDA/VO</t>
        </is>
      </c>
      <c r="N160" s="9" t="inlineStr">
        <is>
          <t>Leíble</t>
        </is>
      </c>
      <c r="O160" s="9" t="inlineStr"/>
    </row>
  </sheetData>
  <autoFilter ref="A1:O160"/>
  <conditionalFormatting sqref="F2:F16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1">
    <dataValidation sqref="F2:F160" showDropDown="0" showInputMessage="0" showErrorMessage="0" allowBlank="1" type="list">
      <formula1>"Not Run,Passed,Failed,Blocked,Skipped"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neom_admin</t>
        </is>
      </c>
      <c r="B2" s="11">
        <f>COUNTIF('Test Cases'!B2:B160,A2)</f>
        <v/>
      </c>
      <c r="C2" s="11">
        <f>COUNTIFS('Test Cases'!B2:B160,A2,'Test Cases'!F2:F160,"Passed")</f>
        <v/>
      </c>
      <c r="D2" s="11">
        <f>COUNTIFS('Test Cases'!B2:B160,A2,'Test Cases'!F2:F160,"Failed")</f>
        <v/>
      </c>
      <c r="E2" s="11">
        <f>COUNTIFS('Test Cases'!B2:B160,A2,'Test Cases'!F2:F160,"Blocked")</f>
        <v/>
      </c>
      <c r="F2" s="11">
        <f>COUNTIFS('Test Cases'!B2:B160,A2,'Test Cases'!F2:F160,"Skipped")</f>
        <v/>
      </c>
      <c r="G2" s="11">
        <f>COUNTIFS('Test Cases'!B2:B160,A2,'Test Cases'!F2:F160,"Not Run")</f>
        <v/>
      </c>
      <c r="H2" s="12">
        <f>IFERROR(C2/(C2+D2),0)</f>
        <v/>
      </c>
    </row>
    <row r="3">
      <c r="A3" s="11" t="inlineStr">
        <is>
          <t>neom_audio_player</t>
        </is>
      </c>
      <c r="B3" s="11">
        <f>COUNTIF('Test Cases'!B2:B160,A3)</f>
        <v/>
      </c>
      <c r="C3" s="11">
        <f>COUNTIFS('Test Cases'!B2:B160,A3,'Test Cases'!F2:F160,"Passed")</f>
        <v/>
      </c>
      <c r="D3" s="11">
        <f>COUNTIFS('Test Cases'!B2:B160,A3,'Test Cases'!F2:F160,"Failed")</f>
        <v/>
      </c>
      <c r="E3" s="11">
        <f>COUNTIFS('Test Cases'!B2:B160,A3,'Test Cases'!F2:F160,"Blocked")</f>
        <v/>
      </c>
      <c r="F3" s="11">
        <f>COUNTIFS('Test Cases'!B2:B160,A3,'Test Cases'!F2:F160,"Skipped")</f>
        <v/>
      </c>
      <c r="G3" s="11">
        <f>COUNTIFS('Test Cases'!B2:B160,A3,'Test Cases'!F2:F160,"Not Run")</f>
        <v/>
      </c>
      <c r="H3" s="12">
        <f>IFERROR(C3/(C3+D3),0)</f>
        <v/>
      </c>
    </row>
    <row r="4">
      <c r="A4" s="11" t="inlineStr">
        <is>
          <t>neom_auth</t>
        </is>
      </c>
      <c r="B4" s="11">
        <f>COUNTIF('Test Cases'!B2:B160,A4)</f>
        <v/>
      </c>
      <c r="C4" s="11">
        <f>COUNTIFS('Test Cases'!B2:B160,A4,'Test Cases'!F2:F160,"Passed")</f>
        <v/>
      </c>
      <c r="D4" s="11">
        <f>COUNTIFS('Test Cases'!B2:B160,A4,'Test Cases'!F2:F160,"Failed")</f>
        <v/>
      </c>
      <c r="E4" s="11">
        <f>COUNTIFS('Test Cases'!B2:B160,A4,'Test Cases'!F2:F160,"Blocked")</f>
        <v/>
      </c>
      <c r="F4" s="11">
        <f>COUNTIFS('Test Cases'!B2:B160,A4,'Test Cases'!F2:F160,"Skipped")</f>
        <v/>
      </c>
      <c r="G4" s="11">
        <f>COUNTIFS('Test Cases'!B2:B160,A4,'Test Cases'!F2:F160,"Not Run")</f>
        <v/>
      </c>
      <c r="H4" s="12">
        <f>IFERROR(C4/(C4+D4),0)</f>
        <v/>
      </c>
    </row>
    <row r="5">
      <c r="A5" s="11" t="inlineStr">
        <is>
          <t>neom_bank</t>
        </is>
      </c>
      <c r="B5" s="11">
        <f>COUNTIF('Test Cases'!B2:B160,A5)</f>
        <v/>
      </c>
      <c r="C5" s="11">
        <f>COUNTIFS('Test Cases'!B2:B160,A5,'Test Cases'!F2:F160,"Passed")</f>
        <v/>
      </c>
      <c r="D5" s="11">
        <f>COUNTIFS('Test Cases'!B2:B160,A5,'Test Cases'!F2:F160,"Failed")</f>
        <v/>
      </c>
      <c r="E5" s="11">
        <f>COUNTIFS('Test Cases'!B2:B160,A5,'Test Cases'!F2:F160,"Blocked")</f>
        <v/>
      </c>
      <c r="F5" s="11">
        <f>COUNTIFS('Test Cases'!B2:B160,A5,'Test Cases'!F2:F160,"Skipped")</f>
        <v/>
      </c>
      <c r="G5" s="11">
        <f>COUNTIFS('Test Cases'!B2:B160,A5,'Test Cases'!F2:F160,"Not Run")</f>
        <v/>
      </c>
      <c r="H5" s="12">
        <f>IFERROR(C5/(C5+D5),0)</f>
        <v/>
      </c>
    </row>
    <row r="6">
      <c r="A6" s="11" t="inlineStr">
        <is>
          <t>neom_biofeedback</t>
        </is>
      </c>
      <c r="B6" s="11">
        <f>COUNTIF('Test Cases'!B2:B160,A6)</f>
        <v/>
      </c>
      <c r="C6" s="11">
        <f>COUNTIFS('Test Cases'!B2:B160,A6,'Test Cases'!F2:F160,"Passed")</f>
        <v/>
      </c>
      <c r="D6" s="11">
        <f>COUNTIFS('Test Cases'!B2:B160,A6,'Test Cases'!F2:F160,"Failed")</f>
        <v/>
      </c>
      <c r="E6" s="11">
        <f>COUNTIFS('Test Cases'!B2:B160,A6,'Test Cases'!F2:F160,"Blocked")</f>
        <v/>
      </c>
      <c r="F6" s="11">
        <f>COUNTIFS('Test Cases'!B2:B160,A6,'Test Cases'!F2:F160,"Skipped")</f>
        <v/>
      </c>
      <c r="G6" s="11">
        <f>COUNTIFS('Test Cases'!B2:B160,A6,'Test Cases'!F2:F160,"Not Run")</f>
        <v/>
      </c>
      <c r="H6" s="12">
        <f>IFERROR(C6/(C6+D6),0)</f>
        <v/>
      </c>
    </row>
    <row r="7">
      <c r="A7" s="11" t="inlineStr">
        <is>
          <t>neom_booking</t>
        </is>
      </c>
      <c r="B7" s="11">
        <f>COUNTIF('Test Cases'!B2:B160,A7)</f>
        <v/>
      </c>
      <c r="C7" s="11">
        <f>COUNTIFS('Test Cases'!B2:B160,A7,'Test Cases'!F2:F160,"Passed")</f>
        <v/>
      </c>
      <c r="D7" s="11">
        <f>COUNTIFS('Test Cases'!B2:B160,A7,'Test Cases'!F2:F160,"Failed")</f>
        <v/>
      </c>
      <c r="E7" s="11">
        <f>COUNTIFS('Test Cases'!B2:B160,A7,'Test Cases'!F2:F160,"Blocked")</f>
        <v/>
      </c>
      <c r="F7" s="11">
        <f>COUNTIFS('Test Cases'!B2:B160,A7,'Test Cases'!F2:F160,"Skipped")</f>
        <v/>
      </c>
      <c r="G7" s="11">
        <f>COUNTIFS('Test Cases'!B2:B160,A7,'Test Cases'!F2:F160,"Not Run")</f>
        <v/>
      </c>
      <c r="H7" s="12">
        <f>IFERROR(C7/(C7+D7),0)</f>
        <v/>
      </c>
    </row>
    <row r="8">
      <c r="A8" s="11" t="inlineStr">
        <is>
          <t>neom_books</t>
        </is>
      </c>
      <c r="B8" s="11">
        <f>COUNTIF('Test Cases'!B2:B160,A8)</f>
        <v/>
      </c>
      <c r="C8" s="11">
        <f>COUNTIFS('Test Cases'!B2:B160,A8,'Test Cases'!F2:F160,"Passed")</f>
        <v/>
      </c>
      <c r="D8" s="11">
        <f>COUNTIFS('Test Cases'!B2:B160,A8,'Test Cases'!F2:F160,"Failed")</f>
        <v/>
      </c>
      <c r="E8" s="11">
        <f>COUNTIFS('Test Cases'!B2:B160,A8,'Test Cases'!F2:F160,"Blocked")</f>
        <v/>
      </c>
      <c r="F8" s="11">
        <f>COUNTIFS('Test Cases'!B2:B160,A8,'Test Cases'!F2:F160,"Skipped")</f>
        <v/>
      </c>
      <c r="G8" s="11">
        <f>COUNTIFS('Test Cases'!B2:B160,A8,'Test Cases'!F2:F160,"Not Run")</f>
        <v/>
      </c>
      <c r="H8" s="12">
        <f>IFERROR(C8/(C8+D8),0)</f>
        <v/>
      </c>
    </row>
    <row r="9">
      <c r="A9" s="11" t="inlineStr">
        <is>
          <t>neom_calendar</t>
        </is>
      </c>
      <c r="B9" s="11">
        <f>COUNTIF('Test Cases'!B2:B160,A9)</f>
        <v/>
      </c>
      <c r="C9" s="11">
        <f>COUNTIFS('Test Cases'!B2:B160,A9,'Test Cases'!F2:F160,"Passed")</f>
        <v/>
      </c>
      <c r="D9" s="11">
        <f>COUNTIFS('Test Cases'!B2:B160,A9,'Test Cases'!F2:F160,"Failed")</f>
        <v/>
      </c>
      <c r="E9" s="11">
        <f>COUNTIFS('Test Cases'!B2:B160,A9,'Test Cases'!F2:F160,"Blocked")</f>
        <v/>
      </c>
      <c r="F9" s="11">
        <f>COUNTIFS('Test Cases'!B2:B160,A9,'Test Cases'!F2:F160,"Skipped")</f>
        <v/>
      </c>
      <c r="G9" s="11">
        <f>COUNTIFS('Test Cases'!B2:B160,A9,'Test Cases'!F2:F160,"Not Run")</f>
        <v/>
      </c>
      <c r="H9" s="12">
        <f>IFERROR(C9/(C9+D9),0)</f>
        <v/>
      </c>
    </row>
    <row r="10">
      <c r="A10" s="11" t="inlineStr">
        <is>
          <t>neom_camera</t>
        </is>
      </c>
      <c r="B10" s="11">
        <f>COUNTIF('Test Cases'!B2:B160,A10)</f>
        <v/>
      </c>
      <c r="C10" s="11">
        <f>COUNTIFS('Test Cases'!B2:B160,A10,'Test Cases'!F2:F160,"Passed")</f>
        <v/>
      </c>
      <c r="D10" s="11">
        <f>COUNTIFS('Test Cases'!B2:B160,A10,'Test Cases'!F2:F160,"Failed")</f>
        <v/>
      </c>
      <c r="E10" s="11">
        <f>COUNTIFS('Test Cases'!B2:B160,A10,'Test Cases'!F2:F160,"Blocked")</f>
        <v/>
      </c>
      <c r="F10" s="11">
        <f>COUNTIFS('Test Cases'!B2:B160,A10,'Test Cases'!F2:F160,"Skipped")</f>
        <v/>
      </c>
      <c r="G10" s="11">
        <f>COUNTIFS('Test Cases'!B2:B160,A10,'Test Cases'!F2:F160,"Not Run")</f>
        <v/>
      </c>
      <c r="H10" s="12">
        <f>IFERROR(C10/(C10+D10),0)</f>
        <v/>
      </c>
    </row>
    <row r="11">
      <c r="A11" s="11" t="inlineStr">
        <is>
          <t>neom_cloud</t>
        </is>
      </c>
      <c r="B11" s="11">
        <f>COUNTIF('Test Cases'!B2:B160,A11)</f>
        <v/>
      </c>
      <c r="C11" s="11">
        <f>COUNTIFS('Test Cases'!B2:B160,A11,'Test Cases'!F2:F160,"Passed")</f>
        <v/>
      </c>
      <c r="D11" s="11">
        <f>COUNTIFS('Test Cases'!B2:B160,A11,'Test Cases'!F2:F160,"Failed")</f>
        <v/>
      </c>
      <c r="E11" s="11">
        <f>COUNTIFS('Test Cases'!B2:B160,A11,'Test Cases'!F2:F160,"Blocked")</f>
        <v/>
      </c>
      <c r="F11" s="11">
        <f>COUNTIFS('Test Cases'!B2:B160,A11,'Test Cases'!F2:F160,"Skipped")</f>
        <v/>
      </c>
      <c r="G11" s="11">
        <f>COUNTIFS('Test Cases'!B2:B160,A11,'Test Cases'!F2:F160,"Not Run")</f>
        <v/>
      </c>
      <c r="H11" s="12">
        <f>IFERROR(C11/(C11+D11),0)</f>
        <v/>
      </c>
    </row>
    <row r="12">
      <c r="A12" s="11" t="inlineStr">
        <is>
          <t>neom_commons</t>
        </is>
      </c>
      <c r="B12" s="11">
        <f>COUNTIF('Test Cases'!B2:B160,A12)</f>
        <v/>
      </c>
      <c r="C12" s="11">
        <f>COUNTIFS('Test Cases'!B2:B160,A12,'Test Cases'!F2:F160,"Passed")</f>
        <v/>
      </c>
      <c r="D12" s="11">
        <f>COUNTIFS('Test Cases'!B2:B160,A12,'Test Cases'!F2:F160,"Failed")</f>
        <v/>
      </c>
      <c r="E12" s="11">
        <f>COUNTIFS('Test Cases'!B2:B160,A12,'Test Cases'!F2:F160,"Blocked")</f>
        <v/>
      </c>
      <c r="F12" s="11">
        <f>COUNTIFS('Test Cases'!B2:B160,A12,'Test Cases'!F2:F160,"Skipped")</f>
        <v/>
      </c>
      <c r="G12" s="11">
        <f>COUNTIFS('Test Cases'!B2:B160,A12,'Test Cases'!F2:F160,"Not Run")</f>
        <v/>
      </c>
      <c r="H12" s="12">
        <f>IFERROR(C12/(C12+D12),0)</f>
        <v/>
      </c>
    </row>
    <row r="13">
      <c r="A13" s="11" t="inlineStr">
        <is>
          <t>neom_downloads</t>
        </is>
      </c>
      <c r="B13" s="11">
        <f>COUNTIF('Test Cases'!B2:B160,A13)</f>
        <v/>
      </c>
      <c r="C13" s="11">
        <f>COUNTIFS('Test Cases'!B2:B160,A13,'Test Cases'!F2:F160,"Passed")</f>
        <v/>
      </c>
      <c r="D13" s="11">
        <f>COUNTIFS('Test Cases'!B2:B160,A13,'Test Cases'!F2:F160,"Failed")</f>
        <v/>
      </c>
      <c r="E13" s="11">
        <f>COUNTIFS('Test Cases'!B2:B160,A13,'Test Cases'!F2:F160,"Blocked")</f>
        <v/>
      </c>
      <c r="F13" s="11">
        <f>COUNTIFS('Test Cases'!B2:B160,A13,'Test Cases'!F2:F160,"Skipped")</f>
        <v/>
      </c>
      <c r="G13" s="11">
        <f>COUNTIFS('Test Cases'!B2:B160,A13,'Test Cases'!F2:F160,"Not Run")</f>
        <v/>
      </c>
      <c r="H13" s="12">
        <f>IFERROR(C13/(C13+D13),0)</f>
        <v/>
      </c>
    </row>
    <row r="14">
      <c r="A14" s="11" t="inlineStr">
        <is>
          <t>neom_erp</t>
        </is>
      </c>
      <c r="B14" s="11">
        <f>COUNTIF('Test Cases'!B2:B160,A14)</f>
        <v/>
      </c>
      <c r="C14" s="11">
        <f>COUNTIFS('Test Cases'!B2:B160,A14,'Test Cases'!F2:F160,"Passed")</f>
        <v/>
      </c>
      <c r="D14" s="11">
        <f>COUNTIFS('Test Cases'!B2:B160,A14,'Test Cases'!F2:F160,"Failed")</f>
        <v/>
      </c>
      <c r="E14" s="11">
        <f>COUNTIFS('Test Cases'!B2:B160,A14,'Test Cases'!F2:F160,"Blocked")</f>
        <v/>
      </c>
      <c r="F14" s="11">
        <f>COUNTIFS('Test Cases'!B2:B160,A14,'Test Cases'!F2:F160,"Skipped")</f>
        <v/>
      </c>
      <c r="G14" s="11">
        <f>COUNTIFS('Test Cases'!B2:B160,A14,'Test Cases'!F2:F160,"Not Run")</f>
        <v/>
      </c>
      <c r="H14" s="12">
        <f>IFERROR(C14/(C14+D14),0)</f>
        <v/>
      </c>
    </row>
    <row r="15">
      <c r="A15" s="11" t="inlineStr">
        <is>
          <t>neom_events</t>
        </is>
      </c>
      <c r="B15" s="11">
        <f>COUNTIF('Test Cases'!B2:B160,A15)</f>
        <v/>
      </c>
      <c r="C15" s="11">
        <f>COUNTIFS('Test Cases'!B2:B160,A15,'Test Cases'!F2:F160,"Passed")</f>
        <v/>
      </c>
      <c r="D15" s="11">
        <f>COUNTIFS('Test Cases'!B2:B160,A15,'Test Cases'!F2:F160,"Failed")</f>
        <v/>
      </c>
      <c r="E15" s="11">
        <f>COUNTIFS('Test Cases'!B2:B160,A15,'Test Cases'!F2:F160,"Blocked")</f>
        <v/>
      </c>
      <c r="F15" s="11">
        <f>COUNTIFS('Test Cases'!B2:B160,A15,'Test Cases'!F2:F160,"Skipped")</f>
        <v/>
      </c>
      <c r="G15" s="11">
        <f>COUNTIFS('Test Cases'!B2:B160,A15,'Test Cases'!F2:F160,"Not Run")</f>
        <v/>
      </c>
      <c r="H15" s="12">
        <f>IFERROR(C15/(C15+D15),0)</f>
        <v/>
      </c>
    </row>
    <row r="16">
      <c r="A16" s="11" t="inlineStr">
        <is>
          <t>neom_experiences</t>
        </is>
      </c>
      <c r="B16" s="11">
        <f>COUNTIF('Test Cases'!B2:B160,A16)</f>
        <v/>
      </c>
      <c r="C16" s="11">
        <f>COUNTIFS('Test Cases'!B2:B160,A16,'Test Cases'!F2:F160,"Passed")</f>
        <v/>
      </c>
      <c r="D16" s="11">
        <f>COUNTIFS('Test Cases'!B2:B160,A16,'Test Cases'!F2:F160,"Failed")</f>
        <v/>
      </c>
      <c r="E16" s="11">
        <f>COUNTIFS('Test Cases'!B2:B160,A16,'Test Cases'!F2:F160,"Blocked")</f>
        <v/>
      </c>
      <c r="F16" s="11">
        <f>COUNTIFS('Test Cases'!B2:B160,A16,'Test Cases'!F2:F160,"Skipped")</f>
        <v/>
      </c>
      <c r="G16" s="11">
        <f>COUNTIFS('Test Cases'!B2:B160,A16,'Test Cases'!F2:F160,"Not Run")</f>
        <v/>
      </c>
      <c r="H16" s="12">
        <f>IFERROR(C16/(C16+D16),0)</f>
        <v/>
      </c>
    </row>
    <row r="17">
      <c r="A17" s="11" t="inlineStr">
        <is>
          <t>neom_frequencies</t>
        </is>
      </c>
      <c r="B17" s="11">
        <f>COUNTIF('Test Cases'!B2:B160,A17)</f>
        <v/>
      </c>
      <c r="C17" s="11">
        <f>COUNTIFS('Test Cases'!B2:B160,A17,'Test Cases'!F2:F160,"Passed")</f>
        <v/>
      </c>
      <c r="D17" s="11">
        <f>COUNTIFS('Test Cases'!B2:B160,A17,'Test Cases'!F2:F160,"Failed")</f>
        <v/>
      </c>
      <c r="E17" s="11">
        <f>COUNTIFS('Test Cases'!B2:B160,A17,'Test Cases'!F2:F160,"Blocked")</f>
        <v/>
      </c>
      <c r="F17" s="11">
        <f>COUNTIFS('Test Cases'!B2:B160,A17,'Test Cases'!F2:F160,"Skipped")</f>
        <v/>
      </c>
      <c r="G17" s="11">
        <f>COUNTIFS('Test Cases'!B2:B160,A17,'Test Cases'!F2:F160,"Not Run")</f>
        <v/>
      </c>
      <c r="H17" s="12">
        <f>IFERROR(C17/(C17+D17),0)</f>
        <v/>
      </c>
    </row>
    <row r="18">
      <c r="A18" s="11" t="inlineStr">
        <is>
          <t>neom_generator</t>
        </is>
      </c>
      <c r="B18" s="11">
        <f>COUNTIF('Test Cases'!B2:B160,A18)</f>
        <v/>
      </c>
      <c r="C18" s="11">
        <f>COUNTIFS('Test Cases'!B2:B160,A18,'Test Cases'!F2:F160,"Passed")</f>
        <v/>
      </c>
      <c r="D18" s="11">
        <f>COUNTIFS('Test Cases'!B2:B160,A18,'Test Cases'!F2:F160,"Failed")</f>
        <v/>
      </c>
      <c r="E18" s="11">
        <f>COUNTIFS('Test Cases'!B2:B160,A18,'Test Cases'!F2:F160,"Blocked")</f>
        <v/>
      </c>
      <c r="F18" s="11">
        <f>COUNTIFS('Test Cases'!B2:B160,A18,'Test Cases'!F2:F160,"Skipped")</f>
        <v/>
      </c>
      <c r="G18" s="11">
        <f>COUNTIFS('Test Cases'!B2:B160,A18,'Test Cases'!F2:F160,"Not Run")</f>
        <v/>
      </c>
      <c r="H18" s="12">
        <f>IFERROR(C18/(C18+D18),0)</f>
        <v/>
      </c>
    </row>
    <row r="19">
      <c r="A19" s="11" t="inlineStr">
        <is>
          <t>neom_historic_state</t>
        </is>
      </c>
      <c r="B19" s="11">
        <f>COUNTIF('Test Cases'!B2:B160,A19)</f>
        <v/>
      </c>
      <c r="C19" s="11">
        <f>COUNTIFS('Test Cases'!B2:B160,A19,'Test Cases'!F2:F160,"Passed")</f>
        <v/>
      </c>
      <c r="D19" s="11">
        <f>COUNTIFS('Test Cases'!B2:B160,A19,'Test Cases'!F2:F160,"Failed")</f>
        <v/>
      </c>
      <c r="E19" s="11">
        <f>COUNTIFS('Test Cases'!B2:B160,A19,'Test Cases'!F2:F160,"Blocked")</f>
        <v/>
      </c>
      <c r="F19" s="11">
        <f>COUNTIFS('Test Cases'!B2:B160,A19,'Test Cases'!F2:F160,"Skipped")</f>
        <v/>
      </c>
      <c r="G19" s="11">
        <f>COUNTIFS('Test Cases'!B2:B160,A19,'Test Cases'!F2:F160,"Not Run")</f>
        <v/>
      </c>
      <c r="H19" s="12">
        <f>IFERROR(C19/(C19+D19),0)</f>
        <v/>
      </c>
    </row>
    <row r="20">
      <c r="A20" s="11" t="inlineStr">
        <is>
          <t>neom_home</t>
        </is>
      </c>
      <c r="B20" s="11">
        <f>COUNTIF('Test Cases'!B2:B160,A20)</f>
        <v/>
      </c>
      <c r="C20" s="11">
        <f>COUNTIFS('Test Cases'!B2:B160,A20,'Test Cases'!F2:F160,"Passed")</f>
        <v/>
      </c>
      <c r="D20" s="11">
        <f>COUNTIFS('Test Cases'!B2:B160,A20,'Test Cases'!F2:F160,"Failed")</f>
        <v/>
      </c>
      <c r="E20" s="11">
        <f>COUNTIFS('Test Cases'!B2:B160,A20,'Test Cases'!F2:F160,"Blocked")</f>
        <v/>
      </c>
      <c r="F20" s="11">
        <f>COUNTIFS('Test Cases'!B2:B160,A20,'Test Cases'!F2:F160,"Skipped")</f>
        <v/>
      </c>
      <c r="G20" s="11">
        <f>COUNTIFS('Test Cases'!B2:B160,A20,'Test Cases'!F2:F160,"Not Run")</f>
        <v/>
      </c>
      <c r="H20" s="12">
        <f>IFERROR(C20/(C20+D20),0)</f>
        <v/>
      </c>
    </row>
    <row r="21">
      <c r="A21" s="11" t="inlineStr">
        <is>
          <t>neom_ia</t>
        </is>
      </c>
      <c r="B21" s="11">
        <f>COUNTIF('Test Cases'!B2:B160,A21)</f>
        <v/>
      </c>
      <c r="C21" s="11">
        <f>COUNTIFS('Test Cases'!B2:B160,A21,'Test Cases'!F2:F160,"Passed")</f>
        <v/>
      </c>
      <c r="D21" s="11">
        <f>COUNTIFS('Test Cases'!B2:B160,A21,'Test Cases'!F2:F160,"Failed")</f>
        <v/>
      </c>
      <c r="E21" s="11">
        <f>COUNTIFS('Test Cases'!B2:B160,A21,'Test Cases'!F2:F160,"Blocked")</f>
        <v/>
      </c>
      <c r="F21" s="11">
        <f>COUNTIFS('Test Cases'!B2:B160,A21,'Test Cases'!F2:F160,"Skipped")</f>
        <v/>
      </c>
      <c r="G21" s="11">
        <f>COUNTIFS('Test Cases'!B2:B160,A21,'Test Cases'!F2:F160,"Not Run")</f>
        <v/>
      </c>
      <c r="H21" s="12">
        <f>IFERROR(C21/(C21+D21),0)</f>
        <v/>
      </c>
    </row>
    <row r="22">
      <c r="A22" s="11" t="inlineStr">
        <is>
          <t>neom_image_editor</t>
        </is>
      </c>
      <c r="B22" s="11">
        <f>COUNTIF('Test Cases'!B2:B160,A22)</f>
        <v/>
      </c>
      <c r="C22" s="11">
        <f>COUNTIFS('Test Cases'!B2:B160,A22,'Test Cases'!F2:F160,"Passed")</f>
        <v/>
      </c>
      <c r="D22" s="11">
        <f>COUNTIFS('Test Cases'!B2:B160,A22,'Test Cases'!F2:F160,"Failed")</f>
        <v/>
      </c>
      <c r="E22" s="11">
        <f>COUNTIFS('Test Cases'!B2:B160,A22,'Test Cases'!F2:F160,"Blocked")</f>
        <v/>
      </c>
      <c r="F22" s="11">
        <f>COUNTIFS('Test Cases'!B2:B160,A22,'Test Cases'!F2:F160,"Skipped")</f>
        <v/>
      </c>
      <c r="G22" s="11">
        <f>COUNTIFS('Test Cases'!B2:B160,A22,'Test Cases'!F2:F160,"Not Run")</f>
        <v/>
      </c>
      <c r="H22" s="12">
        <f>IFERROR(C22/(C22+D22),0)</f>
        <v/>
      </c>
    </row>
    <row r="23">
      <c r="A23" s="11" t="inlineStr">
        <is>
          <t>neom_inbox</t>
        </is>
      </c>
      <c r="B23" s="11">
        <f>COUNTIF('Test Cases'!B2:B160,A23)</f>
        <v/>
      </c>
      <c r="C23" s="11">
        <f>COUNTIFS('Test Cases'!B2:B160,A23,'Test Cases'!F2:F160,"Passed")</f>
        <v/>
      </c>
      <c r="D23" s="11">
        <f>COUNTIFS('Test Cases'!B2:B160,A23,'Test Cases'!F2:F160,"Failed")</f>
        <v/>
      </c>
      <c r="E23" s="11">
        <f>COUNTIFS('Test Cases'!B2:B160,A23,'Test Cases'!F2:F160,"Blocked")</f>
        <v/>
      </c>
      <c r="F23" s="11">
        <f>COUNTIFS('Test Cases'!B2:B160,A23,'Test Cases'!F2:F160,"Skipped")</f>
        <v/>
      </c>
      <c r="G23" s="11">
        <f>COUNTIFS('Test Cases'!B2:B160,A23,'Test Cases'!F2:F160,"Not Run")</f>
        <v/>
      </c>
      <c r="H23" s="12">
        <f>IFERROR(C23/(C23+D23),0)</f>
        <v/>
      </c>
    </row>
    <row r="24">
      <c r="A24" s="11" t="inlineStr">
        <is>
          <t>neom_inter</t>
        </is>
      </c>
      <c r="B24" s="11">
        <f>COUNTIF('Test Cases'!B2:B160,A24)</f>
        <v/>
      </c>
      <c r="C24" s="11">
        <f>COUNTIFS('Test Cases'!B2:B160,A24,'Test Cases'!F2:F160,"Passed")</f>
        <v/>
      </c>
      <c r="D24" s="11">
        <f>COUNTIFS('Test Cases'!B2:B160,A24,'Test Cases'!F2:F160,"Failed")</f>
        <v/>
      </c>
      <c r="E24" s="11">
        <f>COUNTIFS('Test Cases'!B2:B160,A24,'Test Cases'!F2:F160,"Blocked")</f>
        <v/>
      </c>
      <c r="F24" s="11">
        <f>COUNTIFS('Test Cases'!B2:B160,A24,'Test Cases'!F2:F160,"Skipped")</f>
        <v/>
      </c>
      <c r="G24" s="11">
        <f>COUNTIFS('Test Cases'!B2:B160,A24,'Test Cases'!F2:F160,"Not Run")</f>
        <v/>
      </c>
      <c r="H24" s="12">
        <f>IFERROR(C24/(C24+D24),0)</f>
        <v/>
      </c>
    </row>
    <row r="25">
      <c r="A25" s="11" t="inlineStr">
        <is>
          <t>neom_learning</t>
        </is>
      </c>
      <c r="B25" s="11">
        <f>COUNTIF('Test Cases'!B2:B160,A25)</f>
        <v/>
      </c>
      <c r="C25" s="11">
        <f>COUNTIFS('Test Cases'!B2:B160,A25,'Test Cases'!F2:F160,"Passed")</f>
        <v/>
      </c>
      <c r="D25" s="11">
        <f>COUNTIFS('Test Cases'!B2:B160,A25,'Test Cases'!F2:F160,"Failed")</f>
        <v/>
      </c>
      <c r="E25" s="11">
        <f>COUNTIFS('Test Cases'!B2:B160,A25,'Test Cases'!F2:F160,"Blocked")</f>
        <v/>
      </c>
      <c r="F25" s="11">
        <f>COUNTIFS('Test Cases'!B2:B160,A25,'Test Cases'!F2:F160,"Skipped")</f>
        <v/>
      </c>
      <c r="G25" s="11">
        <f>COUNTIFS('Test Cases'!B2:B160,A25,'Test Cases'!F2:F160,"Not Run")</f>
        <v/>
      </c>
      <c r="H25" s="12">
        <f>IFERROR(C25/(C25+D25),0)</f>
        <v/>
      </c>
    </row>
    <row r="26">
      <c r="A26" s="11" t="inlineStr">
        <is>
          <t>neom_mates</t>
        </is>
      </c>
      <c r="B26" s="11">
        <f>COUNTIF('Test Cases'!B2:B160,A26)</f>
        <v/>
      </c>
      <c r="C26" s="11">
        <f>COUNTIFS('Test Cases'!B2:B160,A26,'Test Cases'!F2:F160,"Passed")</f>
        <v/>
      </c>
      <c r="D26" s="11">
        <f>COUNTIFS('Test Cases'!B2:B160,A26,'Test Cases'!F2:F160,"Failed")</f>
        <v/>
      </c>
      <c r="E26" s="11">
        <f>COUNTIFS('Test Cases'!B2:B160,A26,'Test Cases'!F2:F160,"Blocked")</f>
        <v/>
      </c>
      <c r="F26" s="11">
        <f>COUNTIFS('Test Cases'!B2:B160,A26,'Test Cases'!F2:F160,"Skipped")</f>
        <v/>
      </c>
      <c r="G26" s="11">
        <f>COUNTIFS('Test Cases'!B2:B160,A26,'Test Cases'!F2:F160,"Not Run")</f>
        <v/>
      </c>
      <c r="H26" s="12">
        <f>IFERROR(C26/(C26+D26),0)</f>
        <v/>
      </c>
    </row>
    <row r="27">
      <c r="A27" s="11" t="inlineStr">
        <is>
          <t>neom_media_upload</t>
        </is>
      </c>
      <c r="B27" s="11">
        <f>COUNTIF('Test Cases'!B2:B160,A27)</f>
        <v/>
      </c>
      <c r="C27" s="11">
        <f>COUNTIFS('Test Cases'!B2:B160,A27,'Test Cases'!F2:F160,"Passed")</f>
        <v/>
      </c>
      <c r="D27" s="11">
        <f>COUNTIFS('Test Cases'!B2:B160,A27,'Test Cases'!F2:F160,"Failed")</f>
        <v/>
      </c>
      <c r="E27" s="11">
        <f>COUNTIFS('Test Cases'!B2:B160,A27,'Test Cases'!F2:F160,"Blocked")</f>
        <v/>
      </c>
      <c r="F27" s="11">
        <f>COUNTIFS('Test Cases'!B2:B160,A27,'Test Cases'!F2:F160,"Skipped")</f>
        <v/>
      </c>
      <c r="G27" s="11">
        <f>COUNTIFS('Test Cases'!B2:B160,A27,'Test Cases'!F2:F160,"Not Run")</f>
        <v/>
      </c>
      <c r="H27" s="12">
        <f>IFERROR(C27/(C27+D27),0)</f>
        <v/>
      </c>
    </row>
    <row r="28">
      <c r="A28" s="11" t="inlineStr">
        <is>
          <t>neom_notifications</t>
        </is>
      </c>
      <c r="B28" s="11">
        <f>COUNTIF('Test Cases'!B2:B160,A28)</f>
        <v/>
      </c>
      <c r="C28" s="11">
        <f>COUNTIFS('Test Cases'!B2:B160,A28,'Test Cases'!F2:F160,"Passed")</f>
        <v/>
      </c>
      <c r="D28" s="11">
        <f>COUNTIFS('Test Cases'!B2:B160,A28,'Test Cases'!F2:F160,"Failed")</f>
        <v/>
      </c>
      <c r="E28" s="11">
        <f>COUNTIFS('Test Cases'!B2:B160,A28,'Test Cases'!F2:F160,"Blocked")</f>
        <v/>
      </c>
      <c r="F28" s="11">
        <f>COUNTIFS('Test Cases'!B2:B160,A28,'Test Cases'!F2:F160,"Skipped")</f>
        <v/>
      </c>
      <c r="G28" s="11">
        <f>COUNTIFS('Test Cases'!B2:B160,A28,'Test Cases'!F2:F160,"Not Run")</f>
        <v/>
      </c>
      <c r="H28" s="12">
        <f>IFERROR(C28/(C28+D28),0)</f>
        <v/>
      </c>
    </row>
    <row r="29">
      <c r="A29" s="11" t="inlineStr">
        <is>
          <t>neom_onboarding</t>
        </is>
      </c>
      <c r="B29" s="11">
        <f>COUNTIF('Test Cases'!B2:B160,A29)</f>
        <v/>
      </c>
      <c r="C29" s="11">
        <f>COUNTIFS('Test Cases'!B2:B160,A29,'Test Cases'!F2:F160,"Passed")</f>
        <v/>
      </c>
      <c r="D29" s="11">
        <f>COUNTIFS('Test Cases'!B2:B160,A29,'Test Cases'!F2:F160,"Failed")</f>
        <v/>
      </c>
      <c r="E29" s="11">
        <f>COUNTIFS('Test Cases'!B2:B160,A29,'Test Cases'!F2:F160,"Blocked")</f>
        <v/>
      </c>
      <c r="F29" s="11">
        <f>COUNTIFS('Test Cases'!B2:B160,A29,'Test Cases'!F2:F160,"Skipped")</f>
        <v/>
      </c>
      <c r="G29" s="11">
        <f>COUNTIFS('Test Cases'!B2:B160,A29,'Test Cases'!F2:F160,"Not Run")</f>
        <v/>
      </c>
      <c r="H29" s="12">
        <f>IFERROR(C29/(C29+D29),0)</f>
        <v/>
      </c>
    </row>
    <row r="30">
      <c r="A30" s="11" t="inlineStr">
        <is>
          <t>neom_par</t>
        </is>
      </c>
      <c r="B30" s="11">
        <f>COUNTIF('Test Cases'!B2:B160,A30)</f>
        <v/>
      </c>
      <c r="C30" s="11">
        <f>COUNTIFS('Test Cases'!B2:B160,A30,'Test Cases'!F2:F160,"Passed")</f>
        <v/>
      </c>
      <c r="D30" s="11">
        <f>COUNTIFS('Test Cases'!B2:B160,A30,'Test Cases'!F2:F160,"Failed")</f>
        <v/>
      </c>
      <c r="E30" s="11">
        <f>COUNTIFS('Test Cases'!B2:B160,A30,'Test Cases'!F2:F160,"Blocked")</f>
        <v/>
      </c>
      <c r="F30" s="11">
        <f>COUNTIFS('Test Cases'!B2:B160,A30,'Test Cases'!F2:F160,"Skipped")</f>
        <v/>
      </c>
      <c r="G30" s="11">
        <f>COUNTIFS('Test Cases'!B2:B160,A30,'Test Cases'!F2:F160,"Not Run")</f>
        <v/>
      </c>
      <c r="H30" s="12">
        <f>IFERROR(C30/(C30+D30),0)</f>
        <v/>
      </c>
    </row>
    <row r="31">
      <c r="A31" s="11" t="inlineStr">
        <is>
          <t>neom_posts</t>
        </is>
      </c>
      <c r="B31" s="11">
        <f>COUNTIF('Test Cases'!B2:B160,A31)</f>
        <v/>
      </c>
      <c r="C31" s="11">
        <f>COUNTIFS('Test Cases'!B2:B160,A31,'Test Cases'!F2:F160,"Passed")</f>
        <v/>
      </c>
      <c r="D31" s="11">
        <f>COUNTIFS('Test Cases'!B2:B160,A31,'Test Cases'!F2:F160,"Failed")</f>
        <v/>
      </c>
      <c r="E31" s="11">
        <f>COUNTIFS('Test Cases'!B2:B160,A31,'Test Cases'!F2:F160,"Blocked")</f>
        <v/>
      </c>
      <c r="F31" s="11">
        <f>COUNTIFS('Test Cases'!B2:B160,A31,'Test Cases'!F2:F160,"Skipped")</f>
        <v/>
      </c>
      <c r="G31" s="11">
        <f>COUNTIFS('Test Cases'!B2:B160,A31,'Test Cases'!F2:F160,"Not Run")</f>
        <v/>
      </c>
      <c r="H31" s="12">
        <f>IFERROR(C31/(C31+D31),0)</f>
        <v/>
      </c>
    </row>
    <row r="32">
      <c r="A32" s="11" t="inlineStr">
        <is>
          <t>neom_profile</t>
        </is>
      </c>
      <c r="B32" s="11">
        <f>COUNTIF('Test Cases'!B2:B160,A32)</f>
        <v/>
      </c>
      <c r="C32" s="11">
        <f>COUNTIFS('Test Cases'!B2:B160,A32,'Test Cases'!F2:F160,"Passed")</f>
        <v/>
      </c>
      <c r="D32" s="11">
        <f>COUNTIFS('Test Cases'!B2:B160,A32,'Test Cases'!F2:F160,"Failed")</f>
        <v/>
      </c>
      <c r="E32" s="11">
        <f>COUNTIFS('Test Cases'!B2:B160,A32,'Test Cases'!F2:F160,"Blocked")</f>
        <v/>
      </c>
      <c r="F32" s="11">
        <f>COUNTIFS('Test Cases'!B2:B160,A32,'Test Cases'!F2:F160,"Skipped")</f>
        <v/>
      </c>
      <c r="G32" s="11">
        <f>COUNTIFS('Test Cases'!B2:B160,A32,'Test Cases'!F2:F160,"Not Run")</f>
        <v/>
      </c>
      <c r="H32" s="12">
        <f>IFERROR(C32/(C32+D32),0)</f>
        <v/>
      </c>
    </row>
    <row r="33">
      <c r="A33" s="11" t="inlineStr">
        <is>
          <t>neom_releases</t>
        </is>
      </c>
      <c r="B33" s="11">
        <f>COUNTIF('Test Cases'!B2:B160,A33)</f>
        <v/>
      </c>
      <c r="C33" s="11">
        <f>COUNTIFS('Test Cases'!B2:B160,A33,'Test Cases'!F2:F160,"Passed")</f>
        <v/>
      </c>
      <c r="D33" s="11">
        <f>COUNTIFS('Test Cases'!B2:B160,A33,'Test Cases'!F2:F160,"Failed")</f>
        <v/>
      </c>
      <c r="E33" s="11">
        <f>COUNTIFS('Test Cases'!B2:B160,A33,'Test Cases'!F2:F160,"Blocked")</f>
        <v/>
      </c>
      <c r="F33" s="11">
        <f>COUNTIFS('Test Cases'!B2:B160,A33,'Test Cases'!F2:F160,"Skipped")</f>
        <v/>
      </c>
      <c r="G33" s="11">
        <f>COUNTIFS('Test Cases'!B2:B160,A33,'Test Cases'!F2:F160,"Not Run")</f>
        <v/>
      </c>
      <c r="H33" s="12">
        <f>IFERROR(C33/(C33+D33),0)</f>
        <v/>
      </c>
    </row>
    <row r="34">
      <c r="A34" s="11" t="inlineStr">
        <is>
          <t>neom_search</t>
        </is>
      </c>
      <c r="B34" s="11">
        <f>COUNTIF('Test Cases'!B2:B160,A34)</f>
        <v/>
      </c>
      <c r="C34" s="11">
        <f>COUNTIFS('Test Cases'!B2:B160,A34,'Test Cases'!F2:F160,"Passed")</f>
        <v/>
      </c>
      <c r="D34" s="11">
        <f>COUNTIFS('Test Cases'!B2:B160,A34,'Test Cases'!F2:F160,"Failed")</f>
        <v/>
      </c>
      <c r="E34" s="11">
        <f>COUNTIFS('Test Cases'!B2:B160,A34,'Test Cases'!F2:F160,"Blocked")</f>
        <v/>
      </c>
      <c r="F34" s="11">
        <f>COUNTIFS('Test Cases'!B2:B160,A34,'Test Cases'!F2:F160,"Skipped")</f>
        <v/>
      </c>
      <c r="G34" s="11">
        <f>COUNTIFS('Test Cases'!B2:B160,A34,'Test Cases'!F2:F160,"Not Run")</f>
        <v/>
      </c>
      <c r="H34" s="12">
        <f>IFERROR(C34/(C34+D34),0)</f>
        <v/>
      </c>
    </row>
    <row r="35">
      <c r="A35" s="11" t="inlineStr">
        <is>
          <t>neom_settings</t>
        </is>
      </c>
      <c r="B35" s="11">
        <f>COUNTIF('Test Cases'!B2:B160,A35)</f>
        <v/>
      </c>
      <c r="C35" s="11">
        <f>COUNTIFS('Test Cases'!B2:B160,A35,'Test Cases'!F2:F160,"Passed")</f>
        <v/>
      </c>
      <c r="D35" s="11">
        <f>COUNTIFS('Test Cases'!B2:B160,A35,'Test Cases'!F2:F160,"Failed")</f>
        <v/>
      </c>
      <c r="E35" s="11">
        <f>COUNTIFS('Test Cases'!B2:B160,A35,'Test Cases'!F2:F160,"Blocked")</f>
        <v/>
      </c>
      <c r="F35" s="11">
        <f>COUNTIFS('Test Cases'!B2:B160,A35,'Test Cases'!F2:F160,"Skipped")</f>
        <v/>
      </c>
      <c r="G35" s="11">
        <f>COUNTIFS('Test Cases'!B2:B160,A35,'Test Cases'!F2:F160,"Not Run")</f>
        <v/>
      </c>
      <c r="H35" s="12">
        <f>IFERROR(C35/(C35+D35),0)</f>
        <v/>
      </c>
    </row>
    <row r="36">
      <c r="A36" s="11" t="inlineStr">
        <is>
          <t>neom_states</t>
        </is>
      </c>
      <c r="B36" s="11">
        <f>COUNTIF('Test Cases'!B2:B160,A36)</f>
        <v/>
      </c>
      <c r="C36" s="11">
        <f>COUNTIFS('Test Cases'!B2:B160,A36,'Test Cases'!F2:F160,"Passed")</f>
        <v/>
      </c>
      <c r="D36" s="11">
        <f>COUNTIFS('Test Cases'!B2:B160,A36,'Test Cases'!F2:F160,"Failed")</f>
        <v/>
      </c>
      <c r="E36" s="11">
        <f>COUNTIFS('Test Cases'!B2:B160,A36,'Test Cases'!F2:F160,"Blocked")</f>
        <v/>
      </c>
      <c r="F36" s="11">
        <f>COUNTIFS('Test Cases'!B2:B160,A36,'Test Cases'!F2:F160,"Skipped")</f>
        <v/>
      </c>
      <c r="G36" s="11">
        <f>COUNTIFS('Test Cases'!B2:B160,A36,'Test Cases'!F2:F160,"Not Run")</f>
        <v/>
      </c>
      <c r="H36" s="12">
        <f>IFERROR(C36/(C36+D36),0)</f>
        <v/>
      </c>
    </row>
    <row r="37">
      <c r="A37" s="11" t="inlineStr">
        <is>
          <t>neom_stripe</t>
        </is>
      </c>
      <c r="B37" s="11">
        <f>COUNTIF('Test Cases'!B2:B160,A37)</f>
        <v/>
      </c>
      <c r="C37" s="11">
        <f>COUNTIFS('Test Cases'!B2:B160,A37,'Test Cases'!F2:F160,"Passed")</f>
        <v/>
      </c>
      <c r="D37" s="11">
        <f>COUNTIFS('Test Cases'!B2:B160,A37,'Test Cases'!F2:F160,"Failed")</f>
        <v/>
      </c>
      <c r="E37" s="11">
        <f>COUNTIFS('Test Cases'!B2:B160,A37,'Test Cases'!F2:F160,"Blocked")</f>
        <v/>
      </c>
      <c r="F37" s="11">
        <f>COUNTIFS('Test Cases'!B2:B160,A37,'Test Cases'!F2:F160,"Skipped")</f>
        <v/>
      </c>
      <c r="G37" s="11">
        <f>COUNTIFS('Test Cases'!B2:B160,A37,'Test Cases'!F2:F160,"Not Run")</f>
        <v/>
      </c>
      <c r="H37" s="12">
        <f>IFERROR(C37/(C37+D37),0)</f>
        <v/>
      </c>
    </row>
    <row r="38">
      <c r="A38" s="11" t="inlineStr">
        <is>
          <t>neom_tts</t>
        </is>
      </c>
      <c r="B38" s="11">
        <f>COUNTIF('Test Cases'!B2:B160,A38)</f>
        <v/>
      </c>
      <c r="C38" s="11">
        <f>COUNTIFS('Test Cases'!B2:B160,A38,'Test Cases'!F2:F160,"Passed")</f>
        <v/>
      </c>
      <c r="D38" s="11">
        <f>COUNTIFS('Test Cases'!B2:B160,A38,'Test Cases'!F2:F160,"Failed")</f>
        <v/>
      </c>
      <c r="E38" s="11">
        <f>COUNTIFS('Test Cases'!B2:B160,A38,'Test Cases'!F2:F160,"Blocked")</f>
        <v/>
      </c>
      <c r="F38" s="11">
        <f>COUNTIFS('Test Cases'!B2:B160,A38,'Test Cases'!F2:F160,"Skipped")</f>
        <v/>
      </c>
      <c r="G38" s="11">
        <f>COUNTIFS('Test Cases'!B2:B160,A38,'Test Cases'!F2:F160,"Not Run")</f>
        <v/>
      </c>
      <c r="H38" s="12">
        <f>IFERROR(C38/(C38+D38),0)</f>
        <v/>
      </c>
    </row>
    <row r="39">
      <c r="A39" s="11" t="inlineStr">
        <is>
          <t>neom_vr</t>
        </is>
      </c>
      <c r="B39" s="11">
        <f>COUNTIF('Test Cases'!B2:B160,A39)</f>
        <v/>
      </c>
      <c r="C39" s="11">
        <f>COUNTIFS('Test Cases'!B2:B160,A39,'Test Cases'!F2:F160,"Passed")</f>
        <v/>
      </c>
      <c r="D39" s="11">
        <f>COUNTIFS('Test Cases'!B2:B160,A39,'Test Cases'!F2:F160,"Failed")</f>
        <v/>
      </c>
      <c r="E39" s="11">
        <f>COUNTIFS('Test Cases'!B2:B160,A39,'Test Cases'!F2:F160,"Blocked")</f>
        <v/>
      </c>
      <c r="F39" s="11">
        <f>COUNTIFS('Test Cases'!B2:B160,A39,'Test Cases'!F2:F160,"Skipped")</f>
        <v/>
      </c>
      <c r="G39" s="11">
        <f>COUNTIFS('Test Cases'!B2:B160,A39,'Test Cases'!F2:F160,"Not Run")</f>
        <v/>
      </c>
      <c r="H39" s="12">
        <f>IFERROR(C39/(C39+D39),0)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Pendientes</t>
        </is>
      </c>
      <c r="F1" s="4" t="inlineStr">
        <is>
          <t>% Pass</t>
        </is>
      </c>
    </row>
    <row r="2">
      <c r="A2" s="11" t="inlineStr">
        <is>
          <t>A11y</t>
        </is>
      </c>
      <c r="B2" s="11">
        <f>COUNTIF('Test Cases'!C2:C160,A2)</f>
        <v/>
      </c>
      <c r="C2" s="11">
        <f>COUNTIFS('Test Cases'!C2:C160,A2,'Test Cases'!F2:F160,"Passed")</f>
        <v/>
      </c>
      <c r="D2" s="11">
        <f>COUNTIFS('Test Cases'!C2:C160,A2,'Test Cases'!F2:F160,"Failed")</f>
        <v/>
      </c>
      <c r="E2" s="11">
        <f>COUNTIFS('Test Cases'!C2:C160,A2,'Test Cases'!F2:F160,"Not Run")</f>
        <v/>
      </c>
      <c r="F2" s="12">
        <f>IFERROR(C2/(C2+D2),0)</f>
        <v/>
      </c>
    </row>
    <row r="3">
      <c r="A3" s="11" t="inlineStr">
        <is>
          <t>Admin</t>
        </is>
      </c>
      <c r="B3" s="11">
        <f>COUNTIF('Test Cases'!C2:C160,A3)</f>
        <v/>
      </c>
      <c r="C3" s="11">
        <f>COUNTIFS('Test Cases'!C2:C160,A3,'Test Cases'!F2:F160,"Passed")</f>
        <v/>
      </c>
      <c r="D3" s="11">
        <f>COUNTIFS('Test Cases'!C2:C160,A3,'Test Cases'!F2:F160,"Failed")</f>
        <v/>
      </c>
      <c r="E3" s="11">
        <f>COUNTIFS('Test Cases'!C2:C160,A3,'Test Cases'!F2:F160,"Not Run")</f>
        <v/>
      </c>
      <c r="F3" s="12">
        <f>IFERROR(C3/(C3+D3),0)</f>
        <v/>
      </c>
    </row>
    <row r="4">
      <c r="A4" s="11" t="inlineStr">
        <is>
          <t>Audio</t>
        </is>
      </c>
      <c r="B4" s="11">
        <f>COUNTIF('Test Cases'!C2:C160,A4)</f>
        <v/>
      </c>
      <c r="C4" s="11">
        <f>COUNTIFS('Test Cases'!C2:C160,A4,'Test Cases'!F2:F160,"Passed")</f>
        <v/>
      </c>
      <c r="D4" s="11">
        <f>COUNTIFS('Test Cases'!C2:C160,A4,'Test Cases'!F2:F160,"Failed")</f>
        <v/>
      </c>
      <c r="E4" s="11">
        <f>COUNTIFS('Test Cases'!C2:C160,A4,'Test Cases'!F2:F160,"Not Run")</f>
        <v/>
      </c>
      <c r="F4" s="12">
        <f>IFERROR(C4/(C4+D4),0)</f>
        <v/>
      </c>
    </row>
    <row r="5">
      <c r="A5" s="11" t="inlineStr">
        <is>
          <t>Auth</t>
        </is>
      </c>
      <c r="B5" s="11">
        <f>COUNTIF('Test Cases'!C2:C160,A5)</f>
        <v/>
      </c>
      <c r="C5" s="11">
        <f>COUNTIFS('Test Cases'!C2:C160,A5,'Test Cases'!F2:F160,"Passed")</f>
        <v/>
      </c>
      <c r="D5" s="11">
        <f>COUNTIFS('Test Cases'!C2:C160,A5,'Test Cases'!F2:F160,"Failed")</f>
        <v/>
      </c>
      <c r="E5" s="11">
        <f>COUNTIFS('Test Cases'!C2:C160,A5,'Test Cases'!F2:F160,"Not Run")</f>
        <v/>
      </c>
      <c r="F5" s="12">
        <f>IFERROR(C5/(C5+D5),0)</f>
        <v/>
      </c>
    </row>
    <row r="6">
      <c r="A6" s="11" t="inlineStr">
        <is>
          <t>Biofeedback</t>
        </is>
      </c>
      <c r="B6" s="11">
        <f>COUNTIF('Test Cases'!C2:C160,A6)</f>
        <v/>
      </c>
      <c r="C6" s="11">
        <f>COUNTIFS('Test Cases'!C2:C160,A6,'Test Cases'!F2:F160,"Passed")</f>
        <v/>
      </c>
      <c r="D6" s="11">
        <f>COUNTIFS('Test Cases'!C2:C160,A6,'Test Cases'!F2:F160,"Failed")</f>
        <v/>
      </c>
      <c r="E6" s="11">
        <f>COUNTIFS('Test Cases'!C2:C160,A6,'Test Cases'!F2:F160,"Not Run")</f>
        <v/>
      </c>
      <c r="F6" s="12">
        <f>IFERROR(C6/(C6+D6),0)</f>
        <v/>
      </c>
    </row>
    <row r="7">
      <c r="A7" s="11" t="inlineStr">
        <is>
          <t>Booking</t>
        </is>
      </c>
      <c r="B7" s="11">
        <f>COUNTIF('Test Cases'!C2:C160,A7)</f>
        <v/>
      </c>
      <c r="C7" s="11">
        <f>COUNTIFS('Test Cases'!C2:C160,A7,'Test Cases'!F2:F160,"Passed")</f>
        <v/>
      </c>
      <c r="D7" s="11">
        <f>COUNTIFS('Test Cases'!C2:C160,A7,'Test Cases'!F2:F160,"Failed")</f>
        <v/>
      </c>
      <c r="E7" s="11">
        <f>COUNTIFS('Test Cases'!C2:C160,A7,'Test Cases'!F2:F160,"Not Run")</f>
        <v/>
      </c>
      <c r="F7" s="12">
        <f>IFERROR(C7/(C7+D7),0)</f>
        <v/>
      </c>
    </row>
    <row r="8">
      <c r="A8" s="11" t="inlineStr">
        <is>
          <t>Books</t>
        </is>
      </c>
      <c r="B8" s="11">
        <f>COUNTIF('Test Cases'!C2:C160,A8)</f>
        <v/>
      </c>
      <c r="C8" s="11">
        <f>COUNTIFS('Test Cases'!C2:C160,A8,'Test Cases'!F2:F160,"Passed")</f>
        <v/>
      </c>
      <c r="D8" s="11">
        <f>COUNTIFS('Test Cases'!C2:C160,A8,'Test Cases'!F2:F160,"Failed")</f>
        <v/>
      </c>
      <c r="E8" s="11">
        <f>COUNTIFS('Test Cases'!C2:C160,A8,'Test Cases'!F2:F160,"Not Run")</f>
        <v/>
      </c>
      <c r="F8" s="12">
        <f>IFERROR(C8/(C8+D8),0)</f>
        <v/>
      </c>
    </row>
    <row r="9">
      <c r="A9" s="11" t="inlineStr">
        <is>
          <t>Calendar</t>
        </is>
      </c>
      <c r="B9" s="11">
        <f>COUNTIF('Test Cases'!C2:C160,A9)</f>
        <v/>
      </c>
      <c r="C9" s="11">
        <f>COUNTIFS('Test Cases'!C2:C160,A9,'Test Cases'!F2:F160,"Passed")</f>
        <v/>
      </c>
      <c r="D9" s="11">
        <f>COUNTIFS('Test Cases'!C2:C160,A9,'Test Cases'!F2:F160,"Failed")</f>
        <v/>
      </c>
      <c r="E9" s="11">
        <f>COUNTIFS('Test Cases'!C2:C160,A9,'Test Cases'!F2:F160,"Not Run")</f>
        <v/>
      </c>
      <c r="F9" s="12">
        <f>IFERROR(C9/(C9+D9),0)</f>
        <v/>
      </c>
    </row>
    <row r="10">
      <c r="A10" s="11" t="inlineStr">
        <is>
          <t>Camera</t>
        </is>
      </c>
      <c r="B10" s="11">
        <f>COUNTIF('Test Cases'!C2:C160,A10)</f>
        <v/>
      </c>
      <c r="C10" s="11">
        <f>COUNTIFS('Test Cases'!C2:C160,A10,'Test Cases'!F2:F160,"Passed")</f>
        <v/>
      </c>
      <c r="D10" s="11">
        <f>COUNTIFS('Test Cases'!C2:C160,A10,'Test Cases'!F2:F160,"Failed")</f>
        <v/>
      </c>
      <c r="E10" s="11">
        <f>COUNTIFS('Test Cases'!C2:C160,A10,'Test Cases'!F2:F160,"Not Run")</f>
        <v/>
      </c>
      <c r="F10" s="12">
        <f>IFERROR(C10/(C10+D10),0)</f>
        <v/>
      </c>
    </row>
    <row r="11">
      <c r="A11" s="11" t="inlineStr">
        <is>
          <t>Cloud</t>
        </is>
      </c>
      <c r="B11" s="11">
        <f>COUNTIF('Test Cases'!C2:C160,A11)</f>
        <v/>
      </c>
      <c r="C11" s="11">
        <f>COUNTIFS('Test Cases'!C2:C160,A11,'Test Cases'!F2:F160,"Passed")</f>
        <v/>
      </c>
      <c r="D11" s="11">
        <f>COUNTIFS('Test Cases'!C2:C160,A11,'Test Cases'!F2:F160,"Failed")</f>
        <v/>
      </c>
      <c r="E11" s="11">
        <f>COUNTIFS('Test Cases'!C2:C160,A11,'Test Cases'!F2:F160,"Not Run")</f>
        <v/>
      </c>
      <c r="F11" s="12">
        <f>IFERROR(C11/(C11+D11),0)</f>
        <v/>
      </c>
    </row>
    <row r="12">
      <c r="A12" s="11" t="inlineStr">
        <is>
          <t>Cross</t>
        </is>
      </c>
      <c r="B12" s="11">
        <f>COUNTIF('Test Cases'!C2:C160,A12)</f>
        <v/>
      </c>
      <c r="C12" s="11">
        <f>COUNTIFS('Test Cases'!C2:C160,A12,'Test Cases'!F2:F160,"Passed")</f>
        <v/>
      </c>
      <c r="D12" s="11">
        <f>COUNTIFS('Test Cases'!C2:C160,A12,'Test Cases'!F2:F160,"Failed")</f>
        <v/>
      </c>
      <c r="E12" s="11">
        <f>COUNTIFS('Test Cases'!C2:C160,A12,'Test Cases'!F2:F160,"Not Run")</f>
        <v/>
      </c>
      <c r="F12" s="12">
        <f>IFERROR(C12/(C12+D12),0)</f>
        <v/>
      </c>
    </row>
    <row r="13">
      <c r="A13" s="11" t="inlineStr">
        <is>
          <t>Downloads</t>
        </is>
      </c>
      <c r="B13" s="11">
        <f>COUNTIF('Test Cases'!C2:C160,A13)</f>
        <v/>
      </c>
      <c r="C13" s="11">
        <f>COUNTIFS('Test Cases'!C2:C160,A13,'Test Cases'!F2:F160,"Passed")</f>
        <v/>
      </c>
      <c r="D13" s="11">
        <f>COUNTIFS('Test Cases'!C2:C160,A13,'Test Cases'!F2:F160,"Failed")</f>
        <v/>
      </c>
      <c r="E13" s="11">
        <f>COUNTIFS('Test Cases'!C2:C160,A13,'Test Cases'!F2:F160,"Not Run")</f>
        <v/>
      </c>
      <c r="F13" s="12">
        <f>IFERROR(C13/(C13+D13),0)</f>
        <v/>
      </c>
    </row>
    <row r="14">
      <c r="A14" s="11" t="inlineStr">
        <is>
          <t>ERP</t>
        </is>
      </c>
      <c r="B14" s="11">
        <f>COUNTIF('Test Cases'!C2:C160,A14)</f>
        <v/>
      </c>
      <c r="C14" s="11">
        <f>COUNTIFS('Test Cases'!C2:C160,A14,'Test Cases'!F2:F160,"Passed")</f>
        <v/>
      </c>
      <c r="D14" s="11">
        <f>COUNTIFS('Test Cases'!C2:C160,A14,'Test Cases'!F2:F160,"Failed")</f>
        <v/>
      </c>
      <c r="E14" s="11">
        <f>COUNTIFS('Test Cases'!C2:C160,A14,'Test Cases'!F2:F160,"Not Run")</f>
        <v/>
      </c>
      <c r="F14" s="12">
        <f>IFERROR(C14/(C14+D14),0)</f>
        <v/>
      </c>
    </row>
    <row r="15">
      <c r="A15" s="11" t="inlineStr">
        <is>
          <t>Embed</t>
        </is>
      </c>
      <c r="B15" s="11">
        <f>COUNTIF('Test Cases'!C2:C160,A15)</f>
        <v/>
      </c>
      <c r="C15" s="11">
        <f>COUNTIFS('Test Cases'!C2:C160,A15,'Test Cases'!F2:F160,"Passed")</f>
        <v/>
      </c>
      <c r="D15" s="11">
        <f>COUNTIFS('Test Cases'!C2:C160,A15,'Test Cases'!F2:F160,"Failed")</f>
        <v/>
      </c>
      <c r="E15" s="11">
        <f>COUNTIFS('Test Cases'!C2:C160,A15,'Test Cases'!F2:F160,"Not Run")</f>
        <v/>
      </c>
      <c r="F15" s="12">
        <f>IFERROR(C15/(C15+D15),0)</f>
        <v/>
      </c>
    </row>
    <row r="16">
      <c r="A16" s="11" t="inlineStr">
        <is>
          <t>Errors</t>
        </is>
      </c>
      <c r="B16" s="11">
        <f>COUNTIF('Test Cases'!C2:C160,A16)</f>
        <v/>
      </c>
      <c r="C16" s="11">
        <f>COUNTIFS('Test Cases'!C2:C160,A16,'Test Cases'!F2:F160,"Passed")</f>
        <v/>
      </c>
      <c r="D16" s="11">
        <f>COUNTIFS('Test Cases'!C2:C160,A16,'Test Cases'!F2:F160,"Failed")</f>
        <v/>
      </c>
      <c r="E16" s="11">
        <f>COUNTIFS('Test Cases'!C2:C160,A16,'Test Cases'!F2:F160,"Not Run")</f>
        <v/>
      </c>
      <c r="F16" s="12">
        <f>IFERROR(C16/(C16+D16),0)</f>
        <v/>
      </c>
    </row>
    <row r="17">
      <c r="A17" s="11" t="inlineStr">
        <is>
          <t>Events</t>
        </is>
      </c>
      <c r="B17" s="11">
        <f>COUNTIF('Test Cases'!C2:C160,A17)</f>
        <v/>
      </c>
      <c r="C17" s="11">
        <f>COUNTIFS('Test Cases'!C2:C160,A17,'Test Cases'!F2:F160,"Passed")</f>
        <v/>
      </c>
      <c r="D17" s="11">
        <f>COUNTIFS('Test Cases'!C2:C160,A17,'Test Cases'!F2:F160,"Failed")</f>
        <v/>
      </c>
      <c r="E17" s="11">
        <f>COUNTIFS('Test Cases'!C2:C160,A17,'Test Cases'!F2:F160,"Not Run")</f>
        <v/>
      </c>
      <c r="F17" s="12">
        <f>IFERROR(C17/(C17+D17),0)</f>
        <v/>
      </c>
    </row>
    <row r="18">
      <c r="A18" s="11" t="inlineStr">
        <is>
          <t>Experiences</t>
        </is>
      </c>
      <c r="B18" s="11">
        <f>COUNTIF('Test Cases'!C2:C160,A18)</f>
        <v/>
      </c>
      <c r="C18" s="11">
        <f>COUNTIFS('Test Cases'!C2:C160,A18,'Test Cases'!F2:F160,"Passed")</f>
        <v/>
      </c>
      <c r="D18" s="11">
        <f>COUNTIFS('Test Cases'!C2:C160,A18,'Test Cases'!F2:F160,"Failed")</f>
        <v/>
      </c>
      <c r="E18" s="11">
        <f>COUNTIFS('Test Cases'!C2:C160,A18,'Test Cases'!F2:F160,"Not Run")</f>
        <v/>
      </c>
      <c r="F18" s="12">
        <f>IFERROR(C18/(C18+D18),0)</f>
        <v/>
      </c>
    </row>
    <row r="19">
      <c r="A19" s="11" t="inlineStr">
        <is>
          <t>Frequencies</t>
        </is>
      </c>
      <c r="B19" s="11">
        <f>COUNTIF('Test Cases'!C2:C160,A19)</f>
        <v/>
      </c>
      <c r="C19" s="11">
        <f>COUNTIFS('Test Cases'!C2:C160,A19,'Test Cases'!F2:F160,"Passed")</f>
        <v/>
      </c>
      <c r="D19" s="11">
        <f>COUNTIFS('Test Cases'!C2:C160,A19,'Test Cases'!F2:F160,"Failed")</f>
        <v/>
      </c>
      <c r="E19" s="11">
        <f>COUNTIFS('Test Cases'!C2:C160,A19,'Test Cases'!F2:F160,"Not Run")</f>
        <v/>
      </c>
      <c r="F19" s="12">
        <f>IFERROR(C19/(C19+D19),0)</f>
        <v/>
      </c>
    </row>
    <row r="20">
      <c r="A20" s="11" t="inlineStr">
        <is>
          <t>Generator</t>
        </is>
      </c>
      <c r="B20" s="11">
        <f>COUNTIF('Test Cases'!C2:C160,A20)</f>
        <v/>
      </c>
      <c r="C20" s="11">
        <f>COUNTIFS('Test Cases'!C2:C160,A20,'Test Cases'!F2:F160,"Passed")</f>
        <v/>
      </c>
      <c r="D20" s="11">
        <f>COUNTIFS('Test Cases'!C2:C160,A20,'Test Cases'!F2:F160,"Failed")</f>
        <v/>
      </c>
      <c r="E20" s="11">
        <f>COUNTIFS('Test Cases'!C2:C160,A20,'Test Cases'!F2:F160,"Not Run")</f>
        <v/>
      </c>
      <c r="F20" s="12">
        <f>IFERROR(C20/(C20+D20),0)</f>
        <v/>
      </c>
    </row>
    <row r="21">
      <c r="A21" s="11" t="inlineStr">
        <is>
          <t>HistoricState</t>
        </is>
      </c>
      <c r="B21" s="11">
        <f>COUNTIF('Test Cases'!C2:C160,A21)</f>
        <v/>
      </c>
      <c r="C21" s="11">
        <f>COUNTIFS('Test Cases'!C2:C160,A21,'Test Cases'!F2:F160,"Passed")</f>
        <v/>
      </c>
      <c r="D21" s="11">
        <f>COUNTIFS('Test Cases'!C2:C160,A21,'Test Cases'!F2:F160,"Failed")</f>
        <v/>
      </c>
      <c r="E21" s="11">
        <f>COUNTIFS('Test Cases'!C2:C160,A21,'Test Cases'!F2:F160,"Not Run")</f>
        <v/>
      </c>
      <c r="F21" s="12">
        <f>IFERROR(C21/(C21+D21),0)</f>
        <v/>
      </c>
    </row>
    <row r="22">
      <c r="A22" s="11" t="inlineStr">
        <is>
          <t>Home</t>
        </is>
      </c>
      <c r="B22" s="11">
        <f>COUNTIF('Test Cases'!C2:C160,A22)</f>
        <v/>
      </c>
      <c r="C22" s="11">
        <f>COUNTIFS('Test Cases'!C2:C160,A22,'Test Cases'!F2:F160,"Passed")</f>
        <v/>
      </c>
      <c r="D22" s="11">
        <f>COUNTIFS('Test Cases'!C2:C160,A22,'Test Cases'!F2:F160,"Failed")</f>
        <v/>
      </c>
      <c r="E22" s="11">
        <f>COUNTIFS('Test Cases'!C2:C160,A22,'Test Cases'!F2:F160,"Not Run")</f>
        <v/>
      </c>
      <c r="F22" s="12">
        <f>IFERROR(C22/(C22+D22),0)</f>
        <v/>
      </c>
    </row>
    <row r="23">
      <c r="A23" s="11" t="inlineStr">
        <is>
          <t>ImgEdit</t>
        </is>
      </c>
      <c r="B23" s="11">
        <f>COUNTIF('Test Cases'!C2:C160,A23)</f>
        <v/>
      </c>
      <c r="C23" s="11">
        <f>COUNTIFS('Test Cases'!C2:C160,A23,'Test Cases'!F2:F160,"Passed")</f>
        <v/>
      </c>
      <c r="D23" s="11">
        <f>COUNTIFS('Test Cases'!C2:C160,A23,'Test Cases'!F2:F160,"Failed")</f>
        <v/>
      </c>
      <c r="E23" s="11">
        <f>COUNTIFS('Test Cases'!C2:C160,A23,'Test Cases'!F2:F160,"Not Run")</f>
        <v/>
      </c>
      <c r="F23" s="12">
        <f>IFERROR(C23/(C23+D23),0)</f>
        <v/>
      </c>
    </row>
    <row r="24">
      <c r="A24" s="11" t="inlineStr">
        <is>
          <t>Inbox</t>
        </is>
      </c>
      <c r="B24" s="11">
        <f>COUNTIF('Test Cases'!C2:C160,A24)</f>
        <v/>
      </c>
      <c r="C24" s="11">
        <f>COUNTIFS('Test Cases'!C2:C160,A24,'Test Cases'!F2:F160,"Passed")</f>
        <v/>
      </c>
      <c r="D24" s="11">
        <f>COUNTIFS('Test Cases'!C2:C160,A24,'Test Cases'!F2:F160,"Failed")</f>
        <v/>
      </c>
      <c r="E24" s="11">
        <f>COUNTIFS('Test Cases'!C2:C160,A24,'Test Cases'!F2:F160,"Not Run")</f>
        <v/>
      </c>
      <c r="F24" s="12">
        <f>IFERROR(C24/(C24+D24),0)</f>
        <v/>
      </c>
    </row>
    <row r="25">
      <c r="A25" s="11" t="inlineStr">
        <is>
          <t>Inter</t>
        </is>
      </c>
      <c r="B25" s="11">
        <f>COUNTIF('Test Cases'!C2:C160,A25)</f>
        <v/>
      </c>
      <c r="C25" s="11">
        <f>COUNTIFS('Test Cases'!C2:C160,A25,'Test Cases'!F2:F160,"Passed")</f>
        <v/>
      </c>
      <c r="D25" s="11">
        <f>COUNTIFS('Test Cases'!C2:C160,A25,'Test Cases'!F2:F160,"Failed")</f>
        <v/>
      </c>
      <c r="E25" s="11">
        <f>COUNTIFS('Test Cases'!C2:C160,A25,'Test Cases'!F2:F160,"Not Run")</f>
        <v/>
      </c>
      <c r="F25" s="12">
        <f>IFERROR(C25/(C25+D25),0)</f>
        <v/>
      </c>
    </row>
    <row r="26">
      <c r="A26" s="11" t="inlineStr">
        <is>
          <t>Learning</t>
        </is>
      </c>
      <c r="B26" s="11">
        <f>COUNTIF('Test Cases'!C2:C160,A26)</f>
        <v/>
      </c>
      <c r="C26" s="11">
        <f>COUNTIFS('Test Cases'!C2:C160,A26,'Test Cases'!F2:F160,"Passed")</f>
        <v/>
      </c>
      <c r="D26" s="11">
        <f>COUNTIFS('Test Cases'!C2:C160,A26,'Test Cases'!F2:F160,"Failed")</f>
        <v/>
      </c>
      <c r="E26" s="11">
        <f>COUNTIFS('Test Cases'!C2:C160,A26,'Test Cases'!F2:F160,"Not Run")</f>
        <v/>
      </c>
      <c r="F26" s="12">
        <f>IFERROR(C26/(C26+D26),0)</f>
        <v/>
      </c>
    </row>
    <row r="27">
      <c r="A27" s="11" t="inlineStr">
        <is>
          <t>Mates</t>
        </is>
      </c>
      <c r="B27" s="11">
        <f>COUNTIF('Test Cases'!C2:C160,A27)</f>
        <v/>
      </c>
      <c r="C27" s="11">
        <f>COUNTIFS('Test Cases'!C2:C160,A27,'Test Cases'!F2:F160,"Passed")</f>
        <v/>
      </c>
      <c r="D27" s="11">
        <f>COUNTIFS('Test Cases'!C2:C160,A27,'Test Cases'!F2:F160,"Failed")</f>
        <v/>
      </c>
      <c r="E27" s="11">
        <f>COUNTIFS('Test Cases'!C2:C160,A27,'Test Cases'!F2:F160,"Not Run")</f>
        <v/>
      </c>
      <c r="F27" s="12">
        <f>IFERROR(C27/(C27+D27),0)</f>
        <v/>
      </c>
    </row>
    <row r="28">
      <c r="A28" s="11" t="inlineStr">
        <is>
          <t>Notif</t>
        </is>
      </c>
      <c r="B28" s="11">
        <f>COUNTIF('Test Cases'!C2:C160,A28)</f>
        <v/>
      </c>
      <c r="C28" s="11">
        <f>COUNTIFS('Test Cases'!C2:C160,A28,'Test Cases'!F2:F160,"Passed")</f>
        <v/>
      </c>
      <c r="D28" s="11">
        <f>COUNTIFS('Test Cases'!C2:C160,A28,'Test Cases'!F2:F160,"Failed")</f>
        <v/>
      </c>
      <c r="E28" s="11">
        <f>COUNTIFS('Test Cases'!C2:C160,A28,'Test Cases'!F2:F160,"Not Run")</f>
        <v/>
      </c>
      <c r="F28" s="12">
        <f>IFERROR(C28/(C28+D28),0)</f>
        <v/>
      </c>
    </row>
    <row r="29">
      <c r="A29" s="11" t="inlineStr">
        <is>
          <t>Onboarding</t>
        </is>
      </c>
      <c r="B29" s="11">
        <f>COUNTIF('Test Cases'!C2:C160,A29)</f>
        <v/>
      </c>
      <c r="C29" s="11">
        <f>COUNTIFS('Test Cases'!C2:C160,A29,'Test Cases'!F2:F160,"Passed")</f>
        <v/>
      </c>
      <c r="D29" s="11">
        <f>COUNTIFS('Test Cases'!C2:C160,A29,'Test Cases'!F2:F160,"Failed")</f>
        <v/>
      </c>
      <c r="E29" s="11">
        <f>COUNTIFS('Test Cases'!C2:C160,A29,'Test Cases'!F2:F160,"Not Run")</f>
        <v/>
      </c>
      <c r="F29" s="12">
        <f>IFERROR(C29/(C29+D29),0)</f>
        <v/>
      </c>
    </row>
    <row r="30">
      <c r="A30" s="11" t="inlineStr">
        <is>
          <t>PAR</t>
        </is>
      </c>
      <c r="B30" s="11">
        <f>COUNTIF('Test Cases'!C2:C160,A30)</f>
        <v/>
      </c>
      <c r="C30" s="11">
        <f>COUNTIFS('Test Cases'!C2:C160,A30,'Test Cases'!F2:F160,"Passed")</f>
        <v/>
      </c>
      <c r="D30" s="11">
        <f>COUNTIFS('Test Cases'!C2:C160,A30,'Test Cases'!F2:F160,"Failed")</f>
        <v/>
      </c>
      <c r="E30" s="11">
        <f>COUNTIFS('Test Cases'!C2:C160,A30,'Test Cases'!F2:F160,"Not Run")</f>
        <v/>
      </c>
      <c r="F30" s="12">
        <f>IFERROR(C30/(C30+D30),0)</f>
        <v/>
      </c>
    </row>
    <row r="31">
      <c r="A31" s="11" t="inlineStr">
        <is>
          <t>Performance</t>
        </is>
      </c>
      <c r="B31" s="11">
        <f>COUNTIF('Test Cases'!C2:C160,A31)</f>
        <v/>
      </c>
      <c r="C31" s="11">
        <f>COUNTIFS('Test Cases'!C2:C160,A31,'Test Cases'!F2:F160,"Passed")</f>
        <v/>
      </c>
      <c r="D31" s="11">
        <f>COUNTIFS('Test Cases'!C2:C160,A31,'Test Cases'!F2:F160,"Failed")</f>
        <v/>
      </c>
      <c r="E31" s="11">
        <f>COUNTIFS('Test Cases'!C2:C160,A31,'Test Cases'!F2:F160,"Not Run")</f>
        <v/>
      </c>
      <c r="F31" s="12">
        <f>IFERROR(C31/(C31+D31),0)</f>
        <v/>
      </c>
    </row>
    <row r="32">
      <c r="A32" s="11" t="inlineStr">
        <is>
          <t>Posts</t>
        </is>
      </c>
      <c r="B32" s="11">
        <f>COUNTIF('Test Cases'!C2:C160,A32)</f>
        <v/>
      </c>
      <c r="C32" s="11">
        <f>COUNTIFS('Test Cases'!C2:C160,A32,'Test Cases'!F2:F160,"Passed")</f>
        <v/>
      </c>
      <c r="D32" s="11">
        <f>COUNTIFS('Test Cases'!C2:C160,A32,'Test Cases'!F2:F160,"Failed")</f>
        <v/>
      </c>
      <c r="E32" s="11">
        <f>COUNTIFS('Test Cases'!C2:C160,A32,'Test Cases'!F2:F160,"Not Run")</f>
        <v/>
      </c>
      <c r="F32" s="12">
        <f>IFERROR(C32/(C32+D32),0)</f>
        <v/>
      </c>
    </row>
    <row r="33">
      <c r="A33" s="11" t="inlineStr">
        <is>
          <t>Profile</t>
        </is>
      </c>
      <c r="B33" s="11">
        <f>COUNTIF('Test Cases'!C2:C160,A33)</f>
        <v/>
      </c>
      <c r="C33" s="11">
        <f>COUNTIFS('Test Cases'!C2:C160,A33,'Test Cases'!F2:F160,"Passed")</f>
        <v/>
      </c>
      <c r="D33" s="11">
        <f>COUNTIFS('Test Cases'!C2:C160,A33,'Test Cases'!F2:F160,"Failed")</f>
        <v/>
      </c>
      <c r="E33" s="11">
        <f>COUNTIFS('Test Cases'!C2:C160,A33,'Test Cases'!F2:F160,"Not Run")</f>
        <v/>
      </c>
      <c r="F33" s="12">
        <f>IFERROR(C33/(C33+D33),0)</f>
        <v/>
      </c>
    </row>
    <row r="34">
      <c r="A34" s="11" t="inlineStr">
        <is>
          <t>Releases</t>
        </is>
      </c>
      <c r="B34" s="11">
        <f>COUNTIF('Test Cases'!C2:C160,A34)</f>
        <v/>
      </c>
      <c r="C34" s="11">
        <f>COUNTIFS('Test Cases'!C2:C160,A34,'Test Cases'!F2:F160,"Passed")</f>
        <v/>
      </c>
      <c r="D34" s="11">
        <f>COUNTIFS('Test Cases'!C2:C160,A34,'Test Cases'!F2:F160,"Failed")</f>
        <v/>
      </c>
      <c r="E34" s="11">
        <f>COUNTIFS('Test Cases'!C2:C160,A34,'Test Cases'!F2:F160,"Not Run")</f>
        <v/>
      </c>
      <c r="F34" s="12">
        <f>IFERROR(C34/(C34+D34),0)</f>
        <v/>
      </c>
    </row>
    <row r="35">
      <c r="A35" s="11" t="inlineStr">
        <is>
          <t>Routing</t>
        </is>
      </c>
      <c r="B35" s="11">
        <f>COUNTIF('Test Cases'!C2:C160,A35)</f>
        <v/>
      </c>
      <c r="C35" s="11">
        <f>COUNTIFS('Test Cases'!C2:C160,A35,'Test Cases'!F2:F160,"Passed")</f>
        <v/>
      </c>
      <c r="D35" s="11">
        <f>COUNTIFS('Test Cases'!C2:C160,A35,'Test Cases'!F2:F160,"Failed")</f>
        <v/>
      </c>
      <c r="E35" s="11">
        <f>COUNTIFS('Test Cases'!C2:C160,A35,'Test Cases'!F2:F160,"Not Run")</f>
        <v/>
      </c>
      <c r="F35" s="12">
        <f>IFERROR(C35/(C35+D35),0)</f>
        <v/>
      </c>
    </row>
    <row r="36">
      <c r="A36" s="11" t="inlineStr">
        <is>
          <t>Search</t>
        </is>
      </c>
      <c r="B36" s="11">
        <f>COUNTIF('Test Cases'!C2:C160,A36)</f>
        <v/>
      </c>
      <c r="C36" s="11">
        <f>COUNTIFS('Test Cases'!C2:C160,A36,'Test Cases'!F2:F160,"Passed")</f>
        <v/>
      </c>
      <c r="D36" s="11">
        <f>COUNTIFS('Test Cases'!C2:C160,A36,'Test Cases'!F2:F160,"Failed")</f>
        <v/>
      </c>
      <c r="E36" s="11">
        <f>COUNTIFS('Test Cases'!C2:C160,A36,'Test Cases'!F2:F160,"Not Run")</f>
        <v/>
      </c>
      <c r="F36" s="12">
        <f>IFERROR(C36/(C36+D36),0)</f>
        <v/>
      </c>
    </row>
    <row r="37">
      <c r="A37" s="11" t="inlineStr">
        <is>
          <t>Security</t>
        </is>
      </c>
      <c r="B37" s="11">
        <f>COUNTIF('Test Cases'!C2:C160,A37)</f>
        <v/>
      </c>
      <c r="C37" s="11">
        <f>COUNTIFS('Test Cases'!C2:C160,A37,'Test Cases'!F2:F160,"Passed")</f>
        <v/>
      </c>
      <c r="D37" s="11">
        <f>COUNTIFS('Test Cases'!C2:C160,A37,'Test Cases'!F2:F160,"Failed")</f>
        <v/>
      </c>
      <c r="E37" s="11">
        <f>COUNTIFS('Test Cases'!C2:C160,A37,'Test Cases'!F2:F160,"Not Run")</f>
        <v/>
      </c>
      <c r="F37" s="12">
        <f>IFERROR(C37/(C37+D37),0)</f>
        <v/>
      </c>
    </row>
    <row r="38">
      <c r="A38" s="11" t="inlineStr">
        <is>
          <t>Settings</t>
        </is>
      </c>
      <c r="B38" s="11">
        <f>COUNTIF('Test Cases'!C2:C160,A38)</f>
        <v/>
      </c>
      <c r="C38" s="11">
        <f>COUNTIFS('Test Cases'!C2:C160,A38,'Test Cases'!F2:F160,"Passed")</f>
        <v/>
      </c>
      <c r="D38" s="11">
        <f>COUNTIFS('Test Cases'!C2:C160,A38,'Test Cases'!F2:F160,"Failed")</f>
        <v/>
      </c>
      <c r="E38" s="11">
        <f>COUNTIFS('Test Cases'!C2:C160,A38,'Test Cases'!F2:F160,"Not Run")</f>
        <v/>
      </c>
      <c r="F38" s="12">
        <f>IFERROR(C38/(C38+D38),0)</f>
        <v/>
      </c>
    </row>
    <row r="39">
      <c r="A39" s="11" t="inlineStr">
        <is>
          <t>Smoke</t>
        </is>
      </c>
      <c r="B39" s="11">
        <f>COUNTIF('Test Cases'!C2:C160,A39)</f>
        <v/>
      </c>
      <c r="C39" s="11">
        <f>COUNTIFS('Test Cases'!C2:C160,A39,'Test Cases'!F2:F160,"Passed")</f>
        <v/>
      </c>
      <c r="D39" s="11">
        <f>COUNTIFS('Test Cases'!C2:C160,A39,'Test Cases'!F2:F160,"Failed")</f>
        <v/>
      </c>
      <c r="E39" s="11">
        <f>COUNTIFS('Test Cases'!C2:C160,A39,'Test Cases'!F2:F160,"Not Run")</f>
        <v/>
      </c>
      <c r="F39" s="12">
        <f>IFERROR(C39/(C39+D39),0)</f>
        <v/>
      </c>
    </row>
    <row r="40">
      <c r="A40" s="11" t="inlineStr">
        <is>
          <t>States</t>
        </is>
      </c>
      <c r="B40" s="11">
        <f>COUNTIF('Test Cases'!C2:C160,A40)</f>
        <v/>
      </c>
      <c r="C40" s="11">
        <f>COUNTIFS('Test Cases'!C2:C160,A40,'Test Cases'!F2:F160,"Passed")</f>
        <v/>
      </c>
      <c r="D40" s="11">
        <f>COUNTIFS('Test Cases'!C2:C160,A40,'Test Cases'!F2:F160,"Failed")</f>
        <v/>
      </c>
      <c r="E40" s="11">
        <f>COUNTIFS('Test Cases'!C2:C160,A40,'Test Cases'!F2:F160,"Not Run")</f>
        <v/>
      </c>
      <c r="F40" s="12">
        <f>IFERROR(C40/(C40+D40),0)</f>
        <v/>
      </c>
    </row>
    <row r="41">
      <c r="A41" s="11" t="inlineStr">
        <is>
          <t>Stripe</t>
        </is>
      </c>
      <c r="B41" s="11">
        <f>COUNTIF('Test Cases'!C2:C160,A41)</f>
        <v/>
      </c>
      <c r="C41" s="11">
        <f>COUNTIFS('Test Cases'!C2:C160,A41,'Test Cases'!F2:F160,"Passed")</f>
        <v/>
      </c>
      <c r="D41" s="11">
        <f>COUNTIFS('Test Cases'!C2:C160,A41,'Test Cases'!F2:F160,"Failed")</f>
        <v/>
      </c>
      <c r="E41" s="11">
        <f>COUNTIFS('Test Cases'!C2:C160,A41,'Test Cases'!F2:F160,"Not Run")</f>
        <v/>
      </c>
      <c r="F41" s="12">
        <f>IFERROR(C41/(C41+D41),0)</f>
        <v/>
      </c>
    </row>
    <row r="42">
      <c r="A42" s="11" t="inlineStr">
        <is>
          <t>TTS</t>
        </is>
      </c>
      <c r="B42" s="11">
        <f>COUNTIF('Test Cases'!C2:C160,A42)</f>
        <v/>
      </c>
      <c r="C42" s="11">
        <f>COUNTIFS('Test Cases'!C2:C160,A42,'Test Cases'!F2:F160,"Passed")</f>
        <v/>
      </c>
      <c r="D42" s="11">
        <f>COUNTIFS('Test Cases'!C2:C160,A42,'Test Cases'!F2:F160,"Failed")</f>
        <v/>
      </c>
      <c r="E42" s="11">
        <f>COUNTIFS('Test Cases'!C2:C160,A42,'Test Cases'!F2:F160,"Not Run")</f>
        <v/>
      </c>
      <c r="F42" s="12">
        <f>IFERROR(C42/(C42+D42),0)</f>
        <v/>
      </c>
    </row>
    <row r="43">
      <c r="A43" s="11" t="inlineStr">
        <is>
          <t>Upload</t>
        </is>
      </c>
      <c r="B43" s="11">
        <f>COUNTIF('Test Cases'!C2:C160,A43)</f>
        <v/>
      </c>
      <c r="C43" s="11">
        <f>COUNTIFS('Test Cases'!C2:C160,A43,'Test Cases'!F2:F160,"Passed")</f>
        <v/>
      </c>
      <c r="D43" s="11">
        <f>COUNTIFS('Test Cases'!C2:C160,A43,'Test Cases'!F2:F160,"Failed")</f>
        <v/>
      </c>
      <c r="E43" s="11">
        <f>COUNTIFS('Test Cases'!C2:C160,A43,'Test Cases'!F2:F160,"Not Run")</f>
        <v/>
      </c>
      <c r="F43" s="12">
        <f>IFERROR(C43/(C43+D43),0)</f>
        <v/>
      </c>
    </row>
    <row r="44">
      <c r="A44" s="11" t="inlineStr">
        <is>
          <t>VR</t>
        </is>
      </c>
      <c r="B44" s="11">
        <f>COUNTIF('Test Cases'!C2:C160,A44)</f>
        <v/>
      </c>
      <c r="C44" s="11">
        <f>COUNTIFS('Test Cases'!C2:C160,A44,'Test Cases'!F2:F160,"Passed")</f>
        <v/>
      </c>
      <c r="D44" s="11">
        <f>COUNTIFS('Test Cases'!C2:C160,A44,'Test Cases'!F2:F160,"Failed")</f>
        <v/>
      </c>
      <c r="E44" s="11">
        <f>COUNTIFS('Test Cases'!C2:C160,A44,'Test Cases'!F2:F160,"Not Run")</f>
        <v/>
      </c>
      <c r="F44" s="12">
        <f>IFERROR(C44/(C44+D44),0)</f>
        <v/>
      </c>
    </row>
    <row r="45">
      <c r="A45" s="11" t="inlineStr">
        <is>
          <t>Wallet</t>
        </is>
      </c>
      <c r="B45" s="11">
        <f>COUNTIF('Test Cases'!C2:C160,A45)</f>
        <v/>
      </c>
      <c r="C45" s="11">
        <f>COUNTIFS('Test Cases'!C2:C160,A45,'Test Cases'!F2:F160,"Passed")</f>
        <v/>
      </c>
      <c r="D45" s="11">
        <f>COUNTIFS('Test Cases'!C2:C160,A45,'Test Cases'!F2:F160,"Failed")</f>
        <v/>
      </c>
      <c r="E45" s="11">
        <f>COUNTIFS('Test Cases'!C2:C160,A45,'Test Cases'!F2:F160,"Not Run")</f>
        <v/>
      </c>
      <c r="F45" s="12">
        <f>IFERROR(C45/(C45+D45),0)</f>
        <v/>
      </c>
    </row>
    <row r="46">
      <c r="A46" s="11" t="inlineStr">
        <is>
          <t>i18n</t>
        </is>
      </c>
      <c r="B46" s="11">
        <f>COUNTIF('Test Cases'!C2:C160,A46)</f>
        <v/>
      </c>
      <c r="C46" s="11">
        <f>COUNTIFS('Test Cases'!C2:C160,A46,'Test Cases'!F2:F160,"Passed")</f>
        <v/>
      </c>
      <c r="D46" s="11">
        <f>COUNTIFS('Test Cases'!C2:C160,A46,'Test Cases'!F2:F160,"Failed")</f>
        <v/>
      </c>
      <c r="E46" s="11">
        <f>COUNTIFS('Test Cases'!C2:C160,A46,'Test Cases'!F2:F160,"Not Run")</f>
        <v/>
      </c>
      <c r="F46" s="12">
        <f>IFERROR(C46/(C46+D46),0)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Platform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Cases'!D2:D160,"P0",'Test Cases'!F2:F160,"Failed")=0,"OK","BLOCKED")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Cases'!D2:D160,"P1",'Test Cases'!F2:F160,"Passed")/COUNTIF('Test Cases'!D2:D160,"P1"),0)&gt;=0.95,"OK","REVIEW")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Cases'!D2:D160,"P2",'Test Cases'!F2:F160,"Passed")+COUNTIFS('Test Cases'!D2:D160,"P2",'Test Cases'!F2:F160,"Failed"))/COUNTIF('Test Cases'!D2:D160,"P2"),0)&gt;=0.8,"OK","REVIEW")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IF(Summary!B15&gt;=0.9,"OK","REVIEW")</f>
        <v/>
      </c>
    </row>
    <row r="9">
      <c r="A9" s="11" t="inlineStr">
        <is>
          <t>PAR readiness funciona</t>
        </is>
      </c>
      <c r="B9" s="11" t="inlineStr">
        <is>
          <t>yes</t>
        </is>
      </c>
      <c r="C9" s="11">
        <f>IF(COUNTIFS('Test Cases'!A2:A300,"PAR-04",'Test Cases'!F2:F300,"Passed")&gt;0,"OK","BLOCKED")</f>
        <v/>
      </c>
    </row>
    <row r="10">
      <c r="A10" s="11" t="inlineStr">
        <is>
          <t>HSS frequency descent OK</t>
        </is>
      </c>
      <c r="B10" s="11" t="inlineStr">
        <is>
          <t>yes</t>
        </is>
      </c>
      <c r="C10" s="11">
        <f>IF(COUNTIFS('Test Cases'!A2:A300,"HST-04",'Test Cases'!F2:F300,"Passed")&gt;0,"OK","BLOCKED")</f>
        <v/>
      </c>
    </row>
    <row r="11">
      <c r="A11" s="11" t="inlineStr">
        <is>
          <t>Mic data privacy</t>
        </is>
      </c>
      <c r="B11" s="11" t="inlineStr">
        <is>
          <t>yes</t>
        </is>
      </c>
      <c r="C11" s="11">
        <f>IF(COUNTIFS('Test Cases'!A2:A300,"SEC-04",'Test Cases'!F2:F300,"Passed")&gt;0,"OK","BLOCKED")</f>
        <v/>
      </c>
    </row>
  </sheetData>
  <mergeCells count="1">
    <mergeCell ref="A1:C1"/>
  </mergeCells>
  <conditionalFormatting sqref="C4:C12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2026-04-07T22:32:56Z</dcterms:created>
  <dcterms:modified xmlns:dcterms="http://purl.org/dc/terms/" xmlns:xsi="http://www.w3.org/2001/XMLSchema-instance" xsi:type="dcterms:W3CDTF">2026-04-07T22:32:56Z</dcterms:modified>
</cp:coreProperties>
</file>